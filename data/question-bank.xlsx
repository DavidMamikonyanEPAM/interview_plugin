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https://epam-my.sharepoint.com/personal/anik_gasparyan_epam_com/Documents/"/>
    </mc:Choice>
  </mc:AlternateContent>
  <xr:revisionPtr revIDLastSave="0" documentId="8_{24E0EFD7-0A50-D54E-B327-A12896B3BFA3}" xr6:coauthVersionLast="47" xr6:coauthVersionMax="47" xr10:uidLastSave="{00000000-0000-0000-0000-000000000000}"/>
  <bookViews>
    <workbookView xWindow="0" yWindow="660" windowWidth="25580" windowHeight="16980" tabRatio="500" activeTab="2" xr2:uid="{00000000-000D-0000-FFFF-FFFF00000000}"/>
  </bookViews>
  <sheets>
    <sheet name="How to use" sheetId="1" r:id="rId1"/>
    <sheet name="Skills Overview" sheetId="2" r:id="rId2"/>
    <sheet name="Question Bank" sheetId="3" r:id="rId3"/>
  </sheets>
  <definedNames>
    <definedName name="_xlnm._FilterDatabase" localSheetId="2" hidden="1">'Question Bank'!$A$1:$L$424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35" i="2" l="1"/>
  <c r="N34" i="2"/>
  <c r="M34" i="2"/>
  <c r="L34" i="2"/>
  <c r="K34" i="2"/>
  <c r="J34" i="2"/>
  <c r="I34" i="2"/>
  <c r="H34" i="2"/>
  <c r="G34" i="2"/>
  <c r="N33" i="2"/>
  <c r="M33" i="2"/>
  <c r="L33" i="2"/>
  <c r="K33" i="2"/>
  <c r="J33" i="2"/>
  <c r="I33" i="2"/>
  <c r="H33" i="2"/>
  <c r="G33" i="2"/>
  <c r="N32" i="2"/>
  <c r="M32" i="2"/>
  <c r="L32" i="2"/>
  <c r="K32" i="2"/>
  <c r="J32" i="2"/>
  <c r="I32" i="2"/>
  <c r="H32" i="2"/>
  <c r="G32" i="2"/>
  <c r="N31" i="2"/>
  <c r="M31" i="2"/>
  <c r="L31" i="2"/>
  <c r="K31" i="2"/>
  <c r="J31" i="2"/>
  <c r="I31" i="2"/>
  <c r="H31" i="2"/>
  <c r="G31" i="2"/>
  <c r="N30" i="2"/>
  <c r="M30" i="2"/>
  <c r="L30" i="2"/>
  <c r="K30" i="2"/>
  <c r="J30" i="2"/>
  <c r="I30" i="2"/>
  <c r="H30" i="2"/>
  <c r="G30" i="2"/>
  <c r="N29" i="2"/>
  <c r="M29" i="2"/>
  <c r="L29" i="2"/>
  <c r="K29" i="2"/>
  <c r="J29" i="2"/>
  <c r="I29" i="2"/>
  <c r="H29" i="2"/>
  <c r="G29" i="2"/>
  <c r="N28" i="2"/>
  <c r="M28" i="2"/>
  <c r="L28" i="2"/>
  <c r="K28" i="2"/>
  <c r="J28" i="2"/>
  <c r="I28" i="2"/>
  <c r="H28" i="2"/>
  <c r="G28" i="2"/>
  <c r="N27" i="2"/>
  <c r="M27" i="2"/>
  <c r="L27" i="2"/>
  <c r="K27" i="2"/>
  <c r="J27" i="2"/>
  <c r="I27" i="2"/>
  <c r="H27" i="2"/>
  <c r="G27" i="2"/>
  <c r="N26" i="2"/>
  <c r="M26" i="2"/>
  <c r="L26" i="2"/>
  <c r="K26" i="2"/>
  <c r="J26" i="2"/>
  <c r="I26" i="2"/>
  <c r="H26" i="2"/>
  <c r="G26" i="2"/>
  <c r="N25" i="2"/>
  <c r="M25" i="2"/>
  <c r="L25" i="2"/>
  <c r="K25" i="2"/>
  <c r="J25" i="2"/>
  <c r="I25" i="2"/>
  <c r="H25" i="2"/>
  <c r="G25" i="2"/>
  <c r="N24" i="2"/>
  <c r="M24" i="2"/>
  <c r="L24" i="2"/>
  <c r="K24" i="2"/>
  <c r="J24" i="2"/>
  <c r="I24" i="2"/>
  <c r="H24" i="2"/>
  <c r="G24" i="2"/>
  <c r="N23" i="2"/>
  <c r="M23" i="2"/>
  <c r="L23" i="2"/>
  <c r="K23" i="2"/>
  <c r="J23" i="2"/>
  <c r="I23" i="2"/>
  <c r="H23" i="2"/>
  <c r="G23" i="2"/>
  <c r="N22" i="2"/>
  <c r="M22" i="2"/>
  <c r="L22" i="2"/>
  <c r="K22" i="2"/>
  <c r="J22" i="2"/>
  <c r="I22" i="2"/>
  <c r="H22" i="2"/>
  <c r="G22" i="2"/>
  <c r="N21" i="2"/>
  <c r="M21" i="2"/>
  <c r="L21" i="2"/>
  <c r="K21" i="2"/>
  <c r="J21" i="2"/>
  <c r="I21" i="2"/>
  <c r="H21" i="2"/>
  <c r="G21" i="2"/>
  <c r="N20" i="2"/>
  <c r="M20" i="2"/>
  <c r="L20" i="2"/>
  <c r="K20" i="2"/>
  <c r="J20" i="2"/>
  <c r="I20" i="2"/>
  <c r="H20" i="2"/>
  <c r="G20" i="2"/>
  <c r="N19" i="2"/>
  <c r="M19" i="2"/>
  <c r="L19" i="2"/>
  <c r="K19" i="2"/>
  <c r="J19" i="2"/>
  <c r="I19" i="2"/>
  <c r="H19" i="2"/>
  <c r="G19" i="2"/>
  <c r="N18" i="2"/>
  <c r="M18" i="2"/>
  <c r="L18" i="2"/>
  <c r="K18" i="2"/>
  <c r="J18" i="2"/>
  <c r="I18" i="2"/>
  <c r="H18" i="2"/>
  <c r="G18" i="2"/>
  <c r="N17" i="2"/>
  <c r="M17" i="2"/>
  <c r="L17" i="2"/>
  <c r="K17" i="2"/>
  <c r="J17" i="2"/>
  <c r="I17" i="2"/>
  <c r="H17" i="2"/>
  <c r="G17" i="2"/>
  <c r="N16" i="2"/>
  <c r="M16" i="2"/>
  <c r="L16" i="2"/>
  <c r="K16" i="2"/>
  <c r="J16" i="2"/>
  <c r="I16" i="2"/>
  <c r="H16" i="2"/>
  <c r="G16" i="2"/>
  <c r="N15" i="2"/>
  <c r="M15" i="2"/>
  <c r="L15" i="2"/>
  <c r="K15" i="2"/>
  <c r="J15" i="2"/>
  <c r="I15" i="2"/>
  <c r="H15" i="2"/>
  <c r="G15" i="2"/>
  <c r="N14" i="2"/>
  <c r="M14" i="2"/>
  <c r="L14" i="2"/>
  <c r="K14" i="2"/>
  <c r="J14" i="2"/>
  <c r="I14" i="2"/>
  <c r="H14" i="2"/>
  <c r="G14" i="2"/>
  <c r="N13" i="2"/>
  <c r="M13" i="2"/>
  <c r="L13" i="2"/>
  <c r="K13" i="2"/>
  <c r="J13" i="2"/>
  <c r="I13" i="2"/>
  <c r="H13" i="2"/>
  <c r="G13" i="2"/>
  <c r="N12" i="2"/>
  <c r="M12" i="2"/>
  <c r="L12" i="2"/>
  <c r="K12" i="2"/>
  <c r="J12" i="2"/>
  <c r="I12" i="2"/>
  <c r="H12" i="2"/>
  <c r="G12" i="2"/>
  <c r="N11" i="2"/>
  <c r="M11" i="2"/>
  <c r="L11" i="2"/>
  <c r="K11" i="2"/>
  <c r="J11" i="2"/>
  <c r="I11" i="2"/>
  <c r="H11" i="2"/>
  <c r="G11" i="2"/>
  <c r="N10" i="2"/>
  <c r="M10" i="2"/>
  <c r="L10" i="2"/>
  <c r="K10" i="2"/>
  <c r="J10" i="2"/>
  <c r="I10" i="2"/>
  <c r="H10" i="2"/>
  <c r="G10" i="2"/>
  <c r="N9" i="2"/>
  <c r="M9" i="2"/>
  <c r="L9" i="2"/>
  <c r="K9" i="2"/>
  <c r="J9" i="2"/>
  <c r="I9" i="2"/>
  <c r="H9" i="2"/>
  <c r="G9" i="2"/>
  <c r="N8" i="2"/>
  <c r="M8" i="2"/>
  <c r="L8" i="2"/>
  <c r="K8" i="2"/>
  <c r="J8" i="2"/>
  <c r="I8" i="2"/>
  <c r="H8" i="2"/>
  <c r="G8" i="2"/>
  <c r="N7" i="2"/>
  <c r="M7" i="2"/>
  <c r="L7" i="2"/>
  <c r="K7" i="2"/>
  <c r="J7" i="2"/>
  <c r="I7" i="2"/>
  <c r="H7" i="2"/>
  <c r="G7" i="2"/>
  <c r="N6" i="2"/>
  <c r="M6" i="2"/>
  <c r="L6" i="2"/>
  <c r="K6" i="2"/>
  <c r="J6" i="2"/>
  <c r="I6" i="2"/>
  <c r="H6" i="2"/>
  <c r="G6" i="2"/>
  <c r="N5" i="2"/>
  <c r="M5" i="2"/>
  <c r="L5" i="2"/>
  <c r="K5" i="2"/>
  <c r="J5" i="2"/>
  <c r="I5" i="2"/>
  <c r="H5" i="2"/>
  <c r="G5" i="2"/>
  <c r="N4" i="2"/>
  <c r="M4" i="2"/>
  <c r="L4" i="2"/>
  <c r="K4" i="2"/>
  <c r="J4" i="2"/>
  <c r="I4" i="2"/>
  <c r="H4" i="2"/>
  <c r="G4" i="2"/>
  <c r="N3" i="2"/>
  <c r="M3" i="2"/>
  <c r="L3" i="2"/>
  <c r="K3" i="2"/>
  <c r="J3" i="2"/>
  <c r="I3" i="2"/>
  <c r="H3" i="2"/>
  <c r="G3" i="2"/>
  <c r="N2" i="2"/>
  <c r="M2" i="2"/>
  <c r="M35" i="2" s="1"/>
  <c r="L2" i="2"/>
  <c r="L35" i="2" s="1"/>
  <c r="K2" i="2"/>
  <c r="K35" i="2" s="1"/>
  <c r="J2" i="2"/>
  <c r="J35" i="2" s="1"/>
  <c r="I2" i="2"/>
  <c r="I35" i="2" s="1"/>
  <c r="H2" i="2"/>
  <c r="H35" i="2" s="1"/>
  <c r="G2" i="2"/>
  <c r="G35" i="2" s="1"/>
</calcChain>
</file>

<file path=xl/sharedStrings.xml><?xml version="1.0" encoding="utf-8"?>
<sst xmlns="http://schemas.openxmlformats.org/spreadsheetml/2006/main" count="4037" uniqueCount="1779">
  <si>
    <t>Campus Front-End L1 — Interview Question Bank (JavaScript)</t>
  </si>
  <si>
    <t>Source: EPAM KB › Campus Front-End L1 Competency Matrix (JS), last updated Jun 03, 2025. Skills, Skillo IDs and required levels copied from that page.</t>
  </si>
  <si>
    <t>Also includes self-check questions from EPAM KB › JS Competency Center › 1. Technical Skills [JS D2 Growth] (HTML, CSS, JavaScript, TypeScript, Angular, React.js, Node.js, Communication Protocols, Security), last updated Dec 08, 2024. The Source column shows where each question came from.</t>
  </si>
  <si>
    <t>Sheets</t>
  </si>
  <si>
    <t>Skills Overview — every skill in the matrix with its ID, required level, question count and average interview score (formulas).</t>
  </si>
  <si>
    <t>Question Bank — questions per skill with expected key points and follow-ups. Filter by Skill, Type or Difficulty.</t>
  </si>
  <si>
    <t>Columns to fill in during an interview (yellow cells in Question Bank)</t>
  </si>
  <si>
    <t>Score (0–3): leave blank if the question was not asked. Notes: free text.</t>
  </si>
  <si>
    <t>Example: Score = 2, Notes = "Explained bubbling well, unsure about capture option syntax"</t>
  </si>
  <si>
    <t>Scoring scale</t>
  </si>
  <si>
    <t>0 — No answer / incorrect</t>
  </si>
  <si>
    <t>1 — Partial: knows the term, can't explain or apply</t>
  </si>
  <si>
    <t>2 — Solid: correct explanation, applies with minor hints</t>
  </si>
  <si>
    <t>3 — Strong: correct, applies independently, handles the follow-up</t>
  </si>
  <si>
    <t>Difficulty</t>
  </si>
  <si>
    <t>Basic — expected from everyone at the skill's required level</t>
  </si>
  <si>
    <t>Core — the main bar for Intermediate skills</t>
  </si>
  <si>
    <t>Stretch — above L1 bar; use to identify strong candidates</t>
  </si>
  <si>
    <t>Type</t>
  </si>
  <si>
    <t>Theory — explain a concept · Practical — describe how you'd do it / use a tool · Coding — write or read code live</t>
  </si>
  <si>
    <t>Note</t>
  </si>
  <si>
    <t>Skills marked 'None' as required level in the matrix (Node.js Core, Cloud Fundamentals, etc.) are listed in Skills Overview have no L1 questions. Common security knowledge has questions from the D2 Growth Security page only — treat them as above-L1.</t>
  </si>
  <si>
    <t>Where the page shows two levels (e.g. TypeScript 'Novice / Intermediate'), both are kept as shown — the matrix is marked 'UPGRADE IN PROGRESS'.</t>
  </si>
  <si>
    <t>#</t>
  </si>
  <si>
    <t>Skill</t>
  </si>
  <si>
    <t>Skillo ID</t>
  </si>
  <si>
    <t>Required Level (L1)</t>
  </si>
  <si>
    <t>Review Status</t>
  </si>
  <si>
    <t>Assessed at L1</t>
  </si>
  <si>
    <t>Questions</t>
  </si>
  <si>
    <t>From L1 Matrix</t>
  </si>
  <si>
    <t>From D2 Growth</t>
  </si>
  <si>
    <t>Basic</t>
  </si>
  <si>
    <t>Core</t>
  </si>
  <si>
    <t>Stretch</t>
  </si>
  <si>
    <t>Questions scored</t>
  </si>
  <si>
    <t>Avg score (0–3)</t>
  </si>
  <si>
    <t>HTML</t>
  </si>
  <si>
    <t>7770000000000102564</t>
  </si>
  <si>
    <t>Intermediate</t>
  </si>
  <si>
    <t>—</t>
  </si>
  <si>
    <t>Yes</t>
  </si>
  <si>
    <t>Frontend Web Accessibility</t>
  </si>
  <si>
    <t>7770000000000100000</t>
  </si>
  <si>
    <t>Novice</t>
  </si>
  <si>
    <t>APPROVED</t>
  </si>
  <si>
    <t>CSS</t>
  </si>
  <si>
    <t>7770000000000101404</t>
  </si>
  <si>
    <t>JavaScript</t>
  </si>
  <si>
    <t>339</t>
  </si>
  <si>
    <t>TypeScript</t>
  </si>
  <si>
    <t>7770000000000112280</t>
  </si>
  <si>
    <t>Novice / Intermediate</t>
  </si>
  <si>
    <t>JavaScript Development Tools</t>
  </si>
  <si>
    <t>7770000000000102295</t>
  </si>
  <si>
    <t>Browser APIs</t>
  </si>
  <si>
    <t>7770000000000102876</t>
  </si>
  <si>
    <t>Intermediate / Novice</t>
  </si>
  <si>
    <t>JavaScript in Browser</t>
  </si>
  <si>
    <t>7770000000000116741</t>
  </si>
  <si>
    <t>JavaScript Top Frameworks</t>
  </si>
  <si>
    <t>7770000000000117080</t>
  </si>
  <si>
    <t>ReactJS</t>
  </si>
  <si>
    <t>7770000000000102668</t>
  </si>
  <si>
    <t>Angular</t>
  </si>
  <si>
    <t>4060741400037627506</t>
  </si>
  <si>
    <t>CSS Preprocessors</t>
  </si>
  <si>
    <t>7770000000000107664</t>
  </si>
  <si>
    <t>CSS Methodologies</t>
  </si>
  <si>
    <t>7770000000000102624</t>
  </si>
  <si>
    <t>CSS Frameworks</t>
  </si>
  <si>
    <t>7770000000000107505</t>
  </si>
  <si>
    <t>Software Engineering Knowledge &amp; Experience</t>
  </si>
  <si>
    <t>7770000000000142962</t>
  </si>
  <si>
    <t>JavaScript Desktop Platform</t>
  </si>
  <si>
    <t>7770000000000106975</t>
  </si>
  <si>
    <t>Software Design</t>
  </si>
  <si>
    <t>7770000000000142971</t>
  </si>
  <si>
    <t>Web Performance Analysis and Optimization</t>
  </si>
  <si>
    <t>7770000000000106635</t>
  </si>
  <si>
    <t>Web Communication Protocols</t>
  </si>
  <si>
    <t>7770000000000116742</t>
  </si>
  <si>
    <t>Software Engineering Practices</t>
  </si>
  <si>
    <t>7770000000000111460</t>
  </si>
  <si>
    <t>GenAI Pair Programming</t>
  </si>
  <si>
    <t>7770000000002743658</t>
  </si>
  <si>
    <t>Prompt Engineering for Dev Productivity</t>
  </si>
  <si>
    <t>7770000000002743659</t>
  </si>
  <si>
    <t>Software Engineering Processes</t>
  </si>
  <si>
    <t>7770000000000109664</t>
  </si>
  <si>
    <t>Node.js</t>
  </si>
  <si>
    <t>7770000000000109487</t>
  </si>
  <si>
    <t>Web Application Rendering Strategies</t>
  </si>
  <si>
    <t>7770000000002777791</t>
  </si>
  <si>
    <t>Node.js Core</t>
  </si>
  <si>
    <t>7770000000000107813</t>
  </si>
  <si>
    <t>None</t>
  </si>
  <si>
    <t>No</t>
  </si>
  <si>
    <t>Node.js Service Development</t>
  </si>
  <si>
    <t>7770000000000113473</t>
  </si>
  <si>
    <t>VERIFICATION</t>
  </si>
  <si>
    <t>Cloud Fundamentals</t>
  </si>
  <si>
    <t>7770000000000142963</t>
  </si>
  <si>
    <t>Content Management Systems</t>
  </si>
  <si>
    <t>665</t>
  </si>
  <si>
    <t>Web Application Hosting</t>
  </si>
  <si>
    <t>7770000000002777792</t>
  </si>
  <si>
    <t>Design patterns</t>
  </si>
  <si>
    <t>1112</t>
  </si>
  <si>
    <t>Common security knowledge</t>
  </si>
  <si>
    <t>4060741400051296593</t>
  </si>
  <si>
    <t>Consultancy</t>
  </si>
  <si>
    <t>7770000000000101790</t>
  </si>
  <si>
    <t>Total</t>
  </si>
  <si>
    <t>ID</t>
  </si>
  <si>
    <t>Source</t>
  </si>
  <si>
    <t>Required Level</t>
  </si>
  <si>
    <t>Topic</t>
  </si>
  <si>
    <t>Question</t>
  </si>
  <si>
    <t>Expected answer / key points</t>
  </si>
  <si>
    <t>Follow-up</t>
  </si>
  <si>
    <t>Score (0–3)</t>
  </si>
  <si>
    <t>Notes</t>
  </si>
  <si>
    <t>Q001</t>
  </si>
  <si>
    <t>L1 Matrix</t>
  </si>
  <si>
    <t>Page structure</t>
  </si>
  <si>
    <t>Theory</t>
  </si>
  <si>
    <t>What is the minimal structure of a valid HTML5 document?</t>
  </si>
  <si>
    <t>&lt;!DOCTYPE html&gt;, &lt;html lang&gt;, &lt;head&gt; with &lt;meta charset&gt; and &lt;title&gt;, &lt;body&gt;. Doctype switches browser to standards mode.</t>
  </si>
  <si>
    <t>What happens if the doctype is missing (quirks mode)?</t>
  </si>
  <si>
    <t>Q002</t>
  </si>
  <si>
    <t>DOM structure</t>
  </si>
  <si>
    <t>How does the browser turn HTML into the DOM? What is the tree model?</t>
  </si>
  <si>
    <t>Parser tokenizes markup and builds a node tree (document → elements, text, comment nodes); parent/child/sibling relations; DOM is a live object model, not the source text.</t>
  </si>
  <si>
    <t>How does the DOM differ from the HTML source after JS runs?</t>
  </si>
  <si>
    <t>Q003</t>
  </si>
  <si>
    <t>Semantic tags</t>
  </si>
  <si>
    <t>Why use semantic HTML5 tags (header, nav, main, article, section, aside, footer) instead of divs?</t>
  </si>
  <si>
    <t>Meaning for assistive tech and SEO, landmark navigation, readability/maintainability; article = self-contained, section = thematic grouping with heading.</t>
  </si>
  <si>
    <t>When would you pick &lt;article&gt; over &lt;section&gt;?</t>
  </si>
  <si>
    <t>Q004</t>
  </si>
  <si>
    <t>Metadata, Styles, Scripts</t>
  </si>
  <si>
    <t>What does &lt;meta name="viewport"&gt; do and why is it needed?</t>
  </si>
  <si>
    <t>Controls layout viewport on mobile: width=device-width, initial-scale=1; without it mobile browsers render at ~980px and scale down.</t>
  </si>
  <si>
    <t>Q005</t>
  </si>
  <si>
    <t>Explain the difference between &lt;script&gt;, &lt;script async&gt; and &lt;script defer&gt;.</t>
  </si>
  <si>
    <t>Plain blocks parsing; async downloads in parallel and executes as soon as ready (order not guaranteed); defer downloads in parallel, executes after parsing in document order. type=module is deferred by default.</t>
  </si>
  <si>
    <t>Where would you put an analytics script vs. your app bundle?</t>
  </si>
  <si>
    <t>Q006</t>
  </si>
  <si>
    <t>What are the ways to include CSS in a page and their trade-offs?</t>
  </si>
  <si>
    <t>Inline style attribute, internal &lt;style&gt;, external &lt;link rel=stylesheet&gt;; external is cacheable/reusable; inline has highest specificity, hard to maintain.</t>
  </si>
  <si>
    <t>Q007</t>
  </si>
  <si>
    <t>Forms &amp; Inputs</t>
  </si>
  <si>
    <t>Practical</t>
  </si>
  <si>
    <t>Build a login form with proper labels, input types and built-in validation.</t>
  </si>
  <si>
    <t>&lt;form&gt; with action/method, &lt;label for&gt; bound to id, type=email/password, required, minlength, autocomplete attributes, &lt;button type=submit&gt;.</t>
  </si>
  <si>
    <t>What's the difference between button type=submit and type=button?</t>
  </si>
  <si>
    <t>Q008</t>
  </si>
  <si>
    <t>Name HTML5 input types and the benefit they bring.</t>
  </si>
  <si>
    <t>email, url, tel, number, range, date, time, color, search; native validation, mobile keyboards, built-in pickers.</t>
  </si>
  <si>
    <t>Q009</t>
  </si>
  <si>
    <t>Tables</t>
  </si>
  <si>
    <t>Which tags and attributes structure an accessible table?</t>
  </si>
  <si>
    <t>&lt;table&gt;, &lt;caption&gt;, &lt;thead&gt;/&lt;tbody&gt;/&lt;tfoot&gt;, &lt;tr&gt;, &lt;th scope&gt;, &lt;td&gt;, colspan/rowspan. Tables for tabular data, not layout.</t>
  </si>
  <si>
    <t>Q010</t>
  </si>
  <si>
    <t>Attributes</t>
  </si>
  <si>
    <t>What's the difference between global attributes like id, class, data-*, hidden, tabindex?</t>
  </si>
  <si>
    <t>id unique per page, class reusable for styling/selection, data-* for custom data (dataset in JS), hidden removes from rendering, tabindex controls focus order.</t>
  </si>
  <si>
    <t>Q011</t>
  </si>
  <si>
    <t>JS D2 Growth</t>
  </si>
  <si>
    <t>Semantic elements</t>
  </si>
  <si>
    <t>Name HTML5 semantic elements and where you'd use them.</t>
  </si>
  <si>
    <t>header, nav, main, article, section, aside, footer, figure/figcaption, time, mark, details/summary; meaning for a11y/SEO.</t>
  </si>
  <si>
    <t>Q012</t>
  </si>
  <si>
    <t>Validation</t>
  </si>
  <si>
    <t>How do you check HTML markup validity?</t>
  </si>
  <si>
    <t>W3C Markup Validator, IDE/linters (HTMLHint), DevTools issues panel, axe/Lighthouse for a11y-related markup problems.</t>
  </si>
  <si>
    <t>Q013</t>
  </si>
  <si>
    <t>DOM interfaces</t>
  </si>
  <si>
    <t>Where are EventTarget, Node, Element, HTMLElement and HTMLInputElement used? How are they related?</t>
  </si>
  <si>
    <t>Inheritance chain EventTarget → Node → Element → HTMLElement → HTMLInputElement; each adds API (events, tree, attributes, HTML props, input-specific value/checked).</t>
  </si>
  <si>
    <t>Q014</t>
  </si>
  <si>
    <t>dataset</t>
  </si>
  <si>
    <t>Coding</t>
  </si>
  <si>
    <t>What is the dataset attribute? Read and write data-* attributes from JS.</t>
  </si>
  <si>
    <t>data-user-id ↔ el.dataset.userId (camelCase), values are strings; useful for passing data to JS/CSS ([data-state]).</t>
  </si>
  <si>
    <t>Q015</t>
  </si>
  <si>
    <t>async/defer</t>
  </si>
  <si>
    <t>Describe how async and defer attributes work on &lt;script&gt;.</t>
  </si>
  <si>
    <t>async: parallel download, execute when ready, order not guaranteed; defer: parallel download, execute after parsing in order, before DOMContentLoaded.</t>
  </si>
  <si>
    <t>Q016</t>
  </si>
  <si>
    <t>SVG</t>
  </si>
  <si>
    <t>Draw a simple image (e.g., a circle inside a square) using &lt;svg&gt;.</t>
  </si>
  <si>
    <t>&lt;svg width viewBox&gt;&lt;rect .../&gt;&lt;circle cx cy r fill/&gt;&lt;/svg&gt;; vector, scalable, styleable via CSS.</t>
  </si>
  <si>
    <t>Q017</t>
  </si>
  <si>
    <t>Canvas vs SVG</t>
  </si>
  <si>
    <t>Difference between &lt;canvas&gt; and &lt;svg&gt;; when to use each?</t>
  </si>
  <si>
    <t>SVG: retained DOM, vector, accessible, good for icons/charts with few elements; canvas: immediate-mode bitmap, JS-drawn, good for games/many objects/pixel manipulation.</t>
  </si>
  <si>
    <t>Q018</t>
  </si>
  <si>
    <t>Doctype</t>
  </si>
  <si>
    <t>What is &lt;!DOCTYPE&gt; and why is it needed?</t>
  </si>
  <si>
    <t>Declares document type; triggers standards mode instead of quirks mode.</t>
  </si>
  <si>
    <t>Q019</t>
  </si>
  <si>
    <t>Head</t>
  </si>
  <si>
    <t>What is &lt;head&gt; for and which tags can it contain?</t>
  </si>
  <si>
    <t>Metadata: title, meta (charset, viewport, description), link, style, script, base, noscript.</t>
  </si>
  <si>
    <t>Q020</t>
  </si>
  <si>
    <t>Forms</t>
  </si>
  <si>
    <t>HTML form basics: how is data sent and what attributes matter?</t>
  </si>
  <si>
    <t>action, method (GET/POST), enctype (multipart for files), name attributes, labels, input types, validation attributes, submit event.</t>
  </si>
  <si>
    <t>Q021</t>
  </si>
  <si>
    <t>Media</t>
  </si>
  <si>
    <t>How do you work with &lt;video&gt;/&lt;audio&gt; tags?</t>
  </si>
  <si>
    <t>src/&lt;source&gt; with multiple formats, controls, autoplay (muted), loop, poster, preload, &lt;track&gt; for captions.</t>
  </si>
  <si>
    <t>Q022</t>
  </si>
  <si>
    <t>URLs</t>
  </si>
  <si>
    <t>Relative vs absolute URL — examples?</t>
  </si>
  <si>
    <t>Absolute includes scheme+host (https://site.com/a); relative resolves against current URL or &lt;base&gt; (../img.png, /img.png root-relative).</t>
  </si>
  <si>
    <t>Q023</t>
  </si>
  <si>
    <t>Responsive images</t>
  </si>
  <si>
    <t>How do you serve responsive images?</t>
  </si>
  <si>
    <t>srcset with w/x descriptors + sizes, &lt;picture&gt; with &lt;source media/type&gt; for art direction/formats, loading=lazy, width/height to avoid CLS.</t>
  </si>
  <si>
    <t>Q024</t>
  </si>
  <si>
    <t>Attributes vs properties</t>
  </si>
  <si>
    <t>Explain the difference between element attributes and DOM properties.</t>
  </si>
  <si>
    <t>Attributes are HTML markup (strings, getAttribute); properties are JS object fields (typed); some sync (id), some don't (value reflects initial attribute only).</t>
  </si>
  <si>
    <t>Q025</t>
  </si>
  <si>
    <t>DOM navigation</t>
  </si>
  <si>
    <t>Difference between childNodes vs children, parentNode vs parentElement, firstChild vs firstElementChild, nextSibling vs nextElementSibling?</t>
  </si>
  <si>
    <t>*Node versions include text/comment nodes; *Element versions only elements; parentNode can be document, parentElement null there; childNodes NodeList vs children HTMLCollection.</t>
  </si>
  <si>
    <t>Q026</t>
  </si>
  <si>
    <t>DOM events</t>
  </si>
  <si>
    <t>What is a DOM event? Name at least five events.</t>
  </si>
  <si>
    <t>Signal something happened; click, input, change, submit, keydown, focus/blur, scroll, load, DOMContentLoaded, resize.</t>
  </si>
  <si>
    <t>Q027</t>
  </si>
  <si>
    <t>Mouse events</t>
  </si>
  <si>
    <t>Differences between click, mousedown, mouseup, mouseover and mouseenter?</t>
  </si>
  <si>
    <t>mousedown → mouseup → click sequence; mouseover bubbles and fires for children, mouseenter doesn't bubble and fires once for element.</t>
  </si>
  <si>
    <t>Q028</t>
  </si>
  <si>
    <t>Drag &amp; drop</t>
  </si>
  <si>
    <t>Basics of the drag and drop API.</t>
  </si>
  <si>
    <t>draggable, dragstart/dragover/drop/dragend, preventDefault on dragover, DataTransfer.</t>
  </si>
  <si>
    <t>Q029</t>
  </si>
  <si>
    <t>Event propagation</t>
  </si>
  <si>
    <t>Describe the three phases of DOM event propagation.</t>
  </si>
  <si>
    <t>Capturing (window → target), target, bubbling (target → window).</t>
  </si>
  <si>
    <t>Q030</t>
  </si>
  <si>
    <t>a11y specifications</t>
  </si>
  <si>
    <t>What is WCAG and what do the POUR principles stand for?</t>
  </si>
  <si>
    <t>Web Content Accessibility Guidelines; Perceivable, Operable, Understandable, Robust; levels A/AA/AAA, AA is the usual target.</t>
  </si>
  <si>
    <t>Q031</t>
  </si>
  <si>
    <t>Semantic tags and roles</t>
  </si>
  <si>
    <t>What is ARIA and what is the 'first rule of ARIA'?</t>
  </si>
  <si>
    <t>Accessible Rich Internet Applications: roles, states, properties. First rule: use native semantic elements before adding ARIA.</t>
  </si>
  <si>
    <t>Give an example where ARIA is necessary (e.g., aria-expanded on a custom disclosure).</t>
  </si>
  <si>
    <t>Q032</t>
  </si>
  <si>
    <t>Assistive Technology</t>
  </si>
  <si>
    <t>How would you check a page works for keyboard-only users?</t>
  </si>
  <si>
    <t>Tab through everything, visible focus indicator, logical order, no keyboard traps, Enter/Space activate controls, skip link.</t>
  </si>
  <si>
    <t>Q033</t>
  </si>
  <si>
    <t>Testing tools</t>
  </si>
  <si>
    <t>Which tools would you use to test accessibility?</t>
  </si>
  <si>
    <t>Lighthouse, axe DevTools, WAVE, browser a11y tree inspector, screen readers (NVDA, VoiceOver, JAWS); automated tools catch only part of issues.</t>
  </si>
  <si>
    <t>Q034</t>
  </si>
  <si>
    <t>Why is a &lt;div onclick&gt; worse than a &lt;button&gt;?</t>
  </si>
  <si>
    <t>No focusability, no keyboard activation, no role announced; button gives all of that for free.</t>
  </si>
  <si>
    <t>Q035</t>
  </si>
  <si>
    <t>What makes good alt text, and when should alt be empty?</t>
  </si>
  <si>
    <t>Describe purpose/content concisely; alt="" for decorative images so screen readers skip them; never omit alt.</t>
  </si>
  <si>
    <t>Q036</t>
  </si>
  <si>
    <t>Fundamentals</t>
  </si>
  <si>
    <t>Explain the box model and box-sizing: border-box.</t>
  </si>
  <si>
    <t>content + padding + border + margin; border-box makes width include padding and border, simplifying layout.</t>
  </si>
  <si>
    <t>Q037</t>
  </si>
  <si>
    <t>How is specificity calculated and how does the cascade resolve conflicts?</t>
  </si>
  <si>
    <t>Origin/importance, then specificity (inline &gt; id &gt; class/attr/pseudo-class &gt; type), then source order; !important overrides; :where() has zero specificity.</t>
  </si>
  <si>
    <t>Compute specificity of '#nav .item a:hover'.</t>
  </si>
  <si>
    <t>Q038</t>
  </si>
  <si>
    <t>Positioning</t>
  </si>
  <si>
    <t>Explain static, relative, absolute, fixed and sticky positioning.</t>
  </si>
  <si>
    <t>Static default; relative offsets from itself and creates containing block; absolute relative to nearest positioned ancestor; fixed to viewport; sticky toggles between relative and fixed within scroll container.</t>
  </si>
  <si>
    <t>Q039</t>
  </si>
  <si>
    <t>Overflow &amp; z-index</t>
  </si>
  <si>
    <t>Why might z-index: 9999 not put an element on top?</t>
  </si>
  <si>
    <t>Stacking contexts: z-index only competes within the same context; contexts are created by positioned+z-index, opacity&lt;1, transform, filter, etc.</t>
  </si>
  <si>
    <t>Q040</t>
  </si>
  <si>
    <t>Flexbox</t>
  </si>
  <si>
    <t>Center an element horizontally and vertically in a container with Flexbox and with Grid.</t>
  </si>
  <si>
    <t>Flex: display:flex; justify-content:center; align-items:center. Grid: display:grid; place-items:center.</t>
  </si>
  <si>
    <t>Q041</t>
  </si>
  <si>
    <t>Explain flex-grow, flex-shrink and flex-basis (the flex shorthand).</t>
  </si>
  <si>
    <t>basis = initial size, grow = share of free space, shrink = share of negative space; flex:1 = 1 1 0%.</t>
  </si>
  <si>
    <t>What does flex: none do?</t>
  </si>
  <si>
    <t>Q042</t>
  </si>
  <si>
    <t>Grid</t>
  </si>
  <si>
    <t>Build a responsive card grid without media queries.</t>
  </si>
  <si>
    <t>grid-template-columns: repeat(auto-fit, minmax(240px, 1fr)); gap. Explain auto-fit vs auto-fill.</t>
  </si>
  <si>
    <t>Q043</t>
  </si>
  <si>
    <t>Flex vs Grid</t>
  </si>
  <si>
    <t>When do you choose Flexbox vs Grid?</t>
  </si>
  <si>
    <t>Flex is one-dimensional, content-driven; Grid is two-dimensional, layout-driven; often combined.</t>
  </si>
  <si>
    <t>Q044</t>
  </si>
  <si>
    <t>Custom properties</t>
  </si>
  <si>
    <t>How do CSS custom properties differ from preprocessor variables?</t>
  </si>
  <si>
    <t>Runtime, cascade and inherit, can be changed by JS and media queries, scoped to elements; Sass variables are compile-time.</t>
  </si>
  <si>
    <t>Implement light/dark theming with custom properties.</t>
  </si>
  <si>
    <t>Q045</t>
  </si>
  <si>
    <t>Logical functions</t>
  </si>
  <si>
    <t>What do min(), max() and clamp() do? Give a fluid typography example.</t>
  </si>
  <si>
    <t>clamp(min, preferred, max), e.g. font-size: clamp(1rem, 2.5vw, 2rem).</t>
  </si>
  <si>
    <t>Q046</t>
  </si>
  <si>
    <t>Performance / Core Web Vitals</t>
  </si>
  <si>
    <t>Which CSS properties are cheap to animate and which cause layout or paint?</t>
  </si>
  <si>
    <t>transform and opacity are compositor-only; width/top/margin trigger layout; color/background trigger paint. will-change hints. Avoid layout shifts (CLS).</t>
  </si>
  <si>
    <t>Q047</t>
  </si>
  <si>
    <t>Font loading</t>
  </si>
  <si>
    <t>What font loading strategies do you know?</t>
  </si>
  <si>
    <t>font-display (swap, optional, fallback), preload critical fonts, subset, WOFF2, size-adjust fallbacks to reduce CLS.</t>
  </si>
  <si>
    <t>Q048</t>
  </si>
  <si>
    <t>Aspect-ratio / content-visibility</t>
  </si>
  <si>
    <t>What problems do aspect-ratio and content-visibility + contain-intrinsic-size solve?</t>
  </si>
  <si>
    <t>aspect-ratio reserves space (no CLS); content-visibility:auto skips rendering off-screen content, contain-intrinsic-size gives placeholder size.</t>
  </si>
  <si>
    <t>Q049</t>
  </si>
  <si>
    <t>Browser compatibility</t>
  </si>
  <si>
    <t>How do you handle a CSS feature not supported in a target browser?</t>
  </si>
  <si>
    <t>Check caniuse, @supports feature queries, progressive enhancement / fallbacks, autoprefixer/PostCSS, browserslist.</t>
  </si>
  <si>
    <t>Q050</t>
  </si>
  <si>
    <t>Document flow</t>
  </si>
  <si>
    <t>Describe normal document flow.</t>
  </si>
  <si>
    <t>Block elements stack vertically, inline flow horizontally in lines; floats/absolute/fixed take elements out of flow.</t>
  </si>
  <si>
    <t>Q051</t>
  </si>
  <si>
    <t>Centering</t>
  </si>
  <si>
    <t>Explain at least 2 ways to center a modal horizontally and vertically.</t>
  </si>
  <si>
    <t>Flex/grid on overlay; position fixed + top/left 50% + transform translate(-50%,-50%); inset:0 + margin:auto with fixed size; &lt;dialog&gt;.</t>
  </si>
  <si>
    <t>Q052</t>
  </si>
  <si>
    <t>Best practices</t>
  </si>
  <si>
    <t>Describe best practices for writing CSS.</t>
  </si>
  <si>
    <t>Methodology/naming, low specificity, avoid !important, reuse via tokens/custom props, mobile-first, avoid deep nesting, linting (stylelint), logical properties.</t>
  </si>
  <si>
    <t>Q053</t>
  </si>
  <si>
    <t>Fixed vs adaptive</t>
  </si>
  <si>
    <t>Fixed vs adaptive vs responsive design?</t>
  </si>
  <si>
    <t>Fixed: set widths; adaptive: several fixed layouts by breakpoint; responsive: fluid layouts adapting continuously.</t>
  </si>
  <si>
    <t>Q054</t>
  </si>
  <si>
    <t>Layout without flex/grid</t>
  </si>
  <si>
    <t>How would you make a layout without flexbox or grid?</t>
  </si>
  <si>
    <t>Floats with clearfix, inline-block, display:table, absolute positioning; trade-offs.</t>
  </si>
  <si>
    <t>Q055</t>
  </si>
  <si>
    <t>Floats</t>
  </si>
  <si>
    <t>Explain floating and how to clear floats.</t>
  </si>
  <si>
    <t>float takes element out of flow, text wraps; clear property, clearfix (::after clear:both), overflow/flow-root creates BFC.</t>
  </si>
  <si>
    <t>Q056</t>
  </si>
  <si>
    <t>Media queries</t>
  </si>
  <si>
    <t>Explain @media: which data can you query and give an example.</t>
  </si>
  <si>
    <t>Width/height, orientation, resolution, prefers-color-scheme, prefers-reduced-motion, hover/pointer, print; @media (min-width: 768px) {...}.</t>
  </si>
  <si>
    <t>Q057</t>
  </si>
  <si>
    <t>Preprocessors</t>
  </si>
  <si>
    <t>Benefits of preprocessors — which do you prefer and why?</t>
  </si>
  <si>
    <t>Variables, nesting, mixins, functions, partials; preference with reasoning (Sass ecosystem).</t>
  </si>
  <si>
    <t>Q058</t>
  </si>
  <si>
    <t>Specificity</t>
  </si>
  <si>
    <t>Explain CSS specificity.</t>
  </si>
  <si>
    <t>(inline, ids, classes/attrs/pseudo-classes, types); higher wins, ties → source order; !important overrides.</t>
  </si>
  <si>
    <t>Q059</t>
  </si>
  <si>
    <t>z-index</t>
  </si>
  <si>
    <t>Explain how z-index works.</t>
  </si>
  <si>
    <t>Applies to positioned/flex/grid items; compared within same stacking context; contexts created by opacity, transform, z-index on positioned etc.</t>
  </si>
  <si>
    <t>Q060</t>
  </si>
  <si>
    <t>When and how do you use display: grid?</t>
  </si>
  <si>
    <t>Two-dimensional layouts; grid-template-columns/rows, areas, gap, fr, minmax, auto-fit.</t>
  </si>
  <si>
    <t>Q061</t>
  </si>
  <si>
    <t>Explain the basics of flexbox.</t>
  </si>
  <si>
    <t>Main/cross axis, flex-direction, justify-content, align-items, flex-wrap, flex grow/shrink/basis, order, gap.</t>
  </si>
  <si>
    <t>Q062</t>
  </si>
  <si>
    <t>Box model</t>
  </si>
  <si>
    <t>Describe the CSS box model.</t>
  </si>
  <si>
    <t>Content, padding, border, margin; box-sizing content-box vs border-box.</t>
  </si>
  <si>
    <t>Q063</t>
  </si>
  <si>
    <t>Units</t>
  </si>
  <si>
    <t>List main CSS units and when to use them.</t>
  </si>
  <si>
    <t>px, %, em, rem, vw/vh (dvh), ch, fr; rem for type, % / fr for layout.</t>
  </si>
  <si>
    <t>Q064</t>
  </si>
  <si>
    <t>Margin collapsing</t>
  </si>
  <si>
    <t>Explain margin collapsing.</t>
  </si>
  <si>
    <t>Adjacent vertical margins of blocks collapse to the larger; parent-first-child collapse; not in flex/grid or BFC.</t>
  </si>
  <si>
    <t>Q065</t>
  </si>
  <si>
    <t>Block vs inline</t>
  </si>
  <si>
    <t>Block vs inline vs inline-block elements?</t>
  </si>
  <si>
    <t>Block: full width, new line, width/height apply; inline: in text flow, width/height ignored, vertical margins ignored; inline-block hybrid.</t>
  </si>
  <si>
    <t>Q066</t>
  </si>
  <si>
    <t>Pseudo-classes vs elements</t>
  </si>
  <si>
    <t>Difference between pseudo-classes and pseudo-elements?</t>
  </si>
  <si>
    <t>Pseudo-class = state (:hover, :nth-child, :focus-visible); pseudo-element = part of element (::before, ::after, ::placeholder).</t>
  </si>
  <si>
    <t>Q067</t>
  </si>
  <si>
    <t>Applying styles</t>
  </si>
  <si>
    <t>Three main ways to apply CSS to a page?</t>
  </si>
  <si>
    <t>Inline style attribute, &lt;style&gt; in head, external stylesheet via &lt;link&gt;.</t>
  </si>
  <si>
    <t>Q068</t>
  </si>
  <si>
    <t>Selectors</t>
  </si>
  <si>
    <t>What does the selector '#container .block1.gray:hover:after' mean?</t>
  </si>
  <si>
    <t>::after pseudo-element of an element with both classes block1 and gray, while hovered, that is a descendant of #container.</t>
  </si>
  <si>
    <t>Q069</t>
  </si>
  <si>
    <t>Data types</t>
  </si>
  <si>
    <t>List JavaScript data types. What's the difference between primitives and objects?</t>
  </si>
  <si>
    <t>string, number, bigint, boolean, undefined, null, symbol + object. Primitives immutable and copied by value; objects by reference.</t>
  </si>
  <si>
    <t>Why does typeof null return 'object'?</t>
  </si>
  <si>
    <t>Q070</t>
  </si>
  <si>
    <t>Objects – built-in methods</t>
  </si>
  <si>
    <t>Iterate over an object's keys and values in three different ways.</t>
  </si>
  <si>
    <t>for...in (+hasOwn check), Object.keys/values/entries with forEach or for...of, Object.entries + destructuring.</t>
  </si>
  <si>
    <t>Q071</t>
  </si>
  <si>
    <t>Objects – static methods</t>
  </si>
  <si>
    <t>What do Object.assign, Object.freeze, Object.create and Object.fromEntries do?</t>
  </si>
  <si>
    <t>Shallow copy/merge; shallow immutability; create with given prototype; build object from entries.</t>
  </si>
  <si>
    <t>Is Object.freeze deep?</t>
  </si>
  <si>
    <t>Q072</t>
  </si>
  <si>
    <t>Arrays – copy/modify</t>
  </si>
  <si>
    <t>Show ways to copy an array and copy part of it. Which mutate the original?</t>
  </si>
  <si>
    <t>spread, slice(), Array.from, structuredClone for deep; slice non-mutating vs splice mutating; push/pop/shift/unshift/sort/reverse mutate; toSorted/toSpliced don't.</t>
  </si>
  <si>
    <t>Q073</t>
  </si>
  <si>
    <t>Arrays – iterating, sorting, filtering</t>
  </si>
  <si>
    <t>Sort an array of users by age, then by name. What's the default sort pitfall?</t>
  </si>
  <si>
    <t>arr.sort((a,b) =&gt; a.age - b.age || a.name.localeCompare(b.name)); default sort converts to strings ([10,2,1] → [1,10,2]).</t>
  </si>
  <si>
    <t>Q074</t>
  </si>
  <si>
    <t>Arrays – iterating</t>
  </si>
  <si>
    <t>Using map/filter/reduce, return total price of in-stock items.</t>
  </si>
  <si>
    <t>items.filter(i =&gt; i.inStock).reduce((sum, i) =&gt; sum + i.price, 0); mention initial value importance.</t>
  </si>
  <si>
    <t>Q075</t>
  </si>
  <si>
    <t>Hash vs Array performance</t>
  </si>
  <si>
    <t>When is an object/Map lookup better than array search?</t>
  </si>
  <si>
    <t>Key lookup O(1) average vs O(n) find/includes; build index map for repeated lookups.</t>
  </si>
  <si>
    <t>Q076</t>
  </si>
  <si>
    <t>Scope</t>
  </si>
  <si>
    <t>Explain global, function and block scope; var vs let vs const.</t>
  </si>
  <si>
    <t>var is function-scoped and hoisted with undefined; let/const block-scoped with temporal dead zone; const prevents reassignment not mutation.</t>
  </si>
  <si>
    <t>Q077</t>
  </si>
  <si>
    <t>Function parameters</t>
  </si>
  <si>
    <t>Is JavaScript pass-by-value or pass-by-reference?</t>
  </si>
  <si>
    <t>Always pass-by-value; for objects the value is a reference, so mutation is visible but reassignment is not.</t>
  </si>
  <si>
    <t>Q078</t>
  </si>
  <si>
    <t>ECMAScript – spread/rest/destructuring</t>
  </si>
  <si>
    <t>Use destructuring with defaults and rest to extract fields from a config object.</t>
  </si>
  <si>
    <t>const { host = 'localhost', port = 80, ...rest } = config; also array destructuring and swap [a, b] = [b, a].</t>
  </si>
  <si>
    <t>Q079</t>
  </si>
  <si>
    <t>ECMAScript – arguments vs rest</t>
  </si>
  <si>
    <t>Compare the arguments object with rest parameters.</t>
  </si>
  <si>
    <t>arguments is array-like, not in arrow functions, non-strict aliasing; rest is a real array and explicit.</t>
  </si>
  <si>
    <t>Q080</t>
  </si>
  <si>
    <t>Loops</t>
  </si>
  <si>
    <t>Compare for...of, for...in and forEach.</t>
  </si>
  <si>
    <t>for...of iterates values of iterables; for...in iterates enumerable keys incl. inherited; forEach can't break/await properly.</t>
  </si>
  <si>
    <t>Q081</t>
  </si>
  <si>
    <t>Hoisting</t>
  </si>
  <si>
    <t>What will this log and why: console.log(a); var a = 1; console.log(b); let b = 2;</t>
  </si>
  <si>
    <t>undefined, then ReferenceError (TDZ). Function declarations hoisted fully, function expressions not.</t>
  </si>
  <si>
    <t>Q082</t>
  </si>
  <si>
    <t>Type conversion</t>
  </si>
  <si>
    <t>Explain implicit conversion: [] + {}, '5' - 2, '5' + 2, truthy/falsy values.</t>
  </si>
  <si>
    <t>'[object Object]', 3, '52'; falsy: false, 0, -0, 0n, '', null, undefined, NaN.</t>
  </si>
  <si>
    <t>Q083</t>
  </si>
  <si>
    <t>Strict comparison</t>
  </si>
  <si>
    <t>Compare == and ===. When, if ever, would you use ==?</t>
  </si>
  <si>
    <t>Loose equality (==) coerces types; strict (===) doesn't. Accepted case: x == null checks both null and undefined.</t>
  </si>
  <si>
    <t>Q084</t>
  </si>
  <si>
    <t>this</t>
  </si>
  <si>
    <t>How is 'this' determined? Cover method call, plain call, arrow function, new, call/apply/bind.</t>
  </si>
  <si>
    <t>Determined by call site: obj.method → obj; plain → undefined (strict)/global; arrow → lexical; new → new instance; explicit binding via call/apply/bind.</t>
  </si>
  <si>
    <t>Why does passing obj.method as a callback lose 'this'?</t>
  </si>
  <si>
    <t>Q085</t>
  </si>
  <si>
    <t>call/apply/bind</t>
  </si>
  <si>
    <t>Difference between call, apply and bind? Implement a simple bind polyfill.</t>
  </si>
  <si>
    <t>call(ctx, ...args), apply(ctx, argsArray) invoke immediately; bind returns new function. Polyfill: return (...a) =&gt; fn.apply(ctx, [...pre, ...a]).</t>
  </si>
  <si>
    <t>Q086</t>
  </si>
  <si>
    <t>Functional patterns – IIFE, callbacks</t>
  </si>
  <si>
    <t>What is an IIFE and why was it used? What is callback hell?</t>
  </si>
  <si>
    <t>Immediately invoked function to create private scope before modules; callback hell = deeply nested async callbacks, solved by promises/async-await.</t>
  </si>
  <si>
    <t>Q087</t>
  </si>
  <si>
    <t>Closures</t>
  </si>
  <si>
    <t>What is a closure? Write a counter factory with private state.</t>
  </si>
  <si>
    <t>Function + its lexical environment; createCounter returns {inc, get} closing over count.</t>
  </si>
  <si>
    <t>Classic: for (var i...) setTimeout — what logs and how to fix?</t>
  </si>
  <si>
    <t>Q088</t>
  </si>
  <si>
    <t>Lexical environment</t>
  </si>
  <si>
    <t>Explain the difference between scope and execution context / lexical environment.</t>
  </si>
  <si>
    <t>Scope is static visibility rules; lexical environment is the runtime record + outer reference created when function is invoked; scope chain lookup.</t>
  </si>
  <si>
    <t>Q089</t>
  </si>
  <si>
    <t>OOP – new / constructors</t>
  </si>
  <si>
    <t>What does the new keyword do step by step?</t>
  </si>
  <si>
    <t>Creates object, sets [[Prototype]] to Fn.prototype, calls Fn with this = object, returns object unless an object is returned explicitly.</t>
  </si>
  <si>
    <t>Q090</t>
  </si>
  <si>
    <t>OOP – private/static members</t>
  </si>
  <si>
    <t>How do you create private and static members (pre-ES2022 and modern)?</t>
  </si>
  <si>
    <t>Closures/WeakMap/underscore convention; modern #private fields and static keyword.</t>
  </si>
  <si>
    <t>Q091</t>
  </si>
  <si>
    <t>Prototypal inheritance</t>
  </si>
  <si>
    <t>Explain __proto__ vs prototype and the prototype chain lookup.</t>
  </si>
  <si>
    <t>prototype is a property of functions used for instances; [[Prototype]]/__proto__ is the link on objects; lookup walks the chain until null. Object.create/getPrototypeOf/setPrototypeOf.</t>
  </si>
  <si>
    <t>Q092</t>
  </si>
  <si>
    <t>ES Classes</t>
  </si>
  <si>
    <t>Create class Animal and subclass Dog with extends, super and a getter. What happens under the hood?</t>
  </si>
  <si>
    <t>Classes are syntactic sugar over prototypes; methods on prototype, non-enumerable; must call super() before this; strict mode; not hoisted (TDZ).</t>
  </si>
  <si>
    <t>Q093</t>
  </si>
  <si>
    <t>Functional inheritance / mixins</t>
  </si>
  <si>
    <t>What is a mixin and how does it compare to inheritance?</t>
  </si>
  <si>
    <t>Copy behaviour into a class/object (Object.assign); composition over inheritance; risk of name clashes and implicit dependencies.</t>
  </si>
  <si>
    <t>Q094</t>
  </si>
  <si>
    <t>Regular expressions</t>
  </si>
  <si>
    <t>Write a regex to validate a simple date 'YYYY-MM-DD' and extract parts.</t>
  </si>
  <si>
    <t>/^(\d{4})-(\d{2})-(\d{2})$/ with match/exec, named groups; flags g, i, m, u; catastrophic backtracking as perf issue.</t>
  </si>
  <si>
    <t>Q095</t>
  </si>
  <si>
    <t>Data types – Symbol, Map/Set, Weak*</t>
  </si>
  <si>
    <t>When would you use Map/Set over objects/arrays? What are WeakMap/WeakSet for?</t>
  </si>
  <si>
    <t>Map: any key type, insertion order, size; Set: unique values; Weak* hold weak references to object keys — caching/metadata without memory leaks, not iterable.</t>
  </si>
  <si>
    <t>Q096</t>
  </si>
  <si>
    <t>Errors</t>
  </si>
  <si>
    <t>Create a custom ValidationError and handle it differently from other errors.</t>
  </si>
  <si>
    <t>class ValidationError extends Error {constructor(m){super(m); this.name='ValidationError'}}; instanceof check in catch; rethrow unknown; finally.</t>
  </si>
  <si>
    <t>Q097</t>
  </si>
  <si>
    <t>Promises</t>
  </si>
  <si>
    <t>Convert a callback-based function to a Promise (promisify) and chain it.</t>
  </si>
  <si>
    <t>new Promise((res, rej) =&gt; fn(args, (err, data) =&gt; err ? rej(err) : res(data))); .then chaining returns new promises; .catch handles any rejection above.</t>
  </si>
  <si>
    <t>Q098</t>
  </si>
  <si>
    <t>Compare Promise.all, allSettled, race and any.</t>
  </si>
  <si>
    <t>all: rejects on first failure; allSettled: always resolves with statuses; race: first settled; any: first fulfilled, AggregateError if all reject.</t>
  </si>
  <si>
    <t>Q099</t>
  </si>
  <si>
    <t>Event loop / async</t>
  </si>
  <si>
    <t>Predict the output: console.log(1); setTimeout(()=&gt;console.log(2)); Promise.resolve().then(()=&gt;console.log(3)); console.log(4);</t>
  </si>
  <si>
    <t>1, 4, 3, 2 — microtasks (promises) run before macrotasks (timers) after the current stack empties.</t>
  </si>
  <si>
    <t>Q100</t>
  </si>
  <si>
    <t>async/await</t>
  </si>
  <si>
    <t>Rewrite a promise chain with async/await and add error handling. How do you run requests in parallel?</t>
  </si>
  <si>
    <t>try/catch around await; parallel via await Promise.all([...]) instead of sequential awaits.</t>
  </si>
  <si>
    <t>Q101</t>
  </si>
  <si>
    <t>Iterators &amp; generators</t>
  </si>
  <si>
    <t>Make a custom object iterable and write a generator for a range.</t>
  </si>
  <si>
    <t>Implement [Symbol.iterator]() returning {next()}; function* range(a,b){for(let i=a;i&lt;b;i++) yield i}; generators pause/resume via yield.</t>
  </si>
  <si>
    <t>Q102</t>
  </si>
  <si>
    <t>Explain hoisting and show it in code.</t>
  </si>
  <si>
    <t>var hoisted as undefined, functions fully hoisted, let/const/class in TDZ.</t>
  </si>
  <si>
    <t>Q103</t>
  </si>
  <si>
    <t>Explain closures with a code example.</t>
  </si>
  <si>
    <t>Inner function keeps access to outer variables after outer returns; counter/once/memoize example.</t>
  </si>
  <si>
    <t>Q104</t>
  </si>
  <si>
    <t>Closures &amp; encapsulation</t>
  </si>
  <si>
    <t>Why do we use closures? How are they connected with encapsulation and IIFE?</t>
  </si>
  <si>
    <t>Private state hidden from outside; module pattern via IIFE returning public API.</t>
  </si>
  <si>
    <t>Q105</t>
  </si>
  <si>
    <t>Explain 'this' in regular vs arrow functions with examples.</t>
  </si>
  <si>
    <t>Regular: depends on call site; arrow: lexically inherited, can't be rebound; class methods passed as callbacks lose this.</t>
  </si>
  <si>
    <t>Q106</t>
  </si>
  <si>
    <t>new</t>
  </si>
  <si>
    <t>How does the new keyword work?</t>
  </si>
  <si>
    <t>Create object, link prototype, call constructor with this, return object unless constructor returns object.</t>
  </si>
  <si>
    <t>Q107</t>
  </si>
  <si>
    <t>Comparison algorithm</t>
  </si>
  <si>
    <t>Describe the comparison algorithm (==, ===, Object.is).</t>
  </si>
  <si>
    <t>=== no coercion (NaN !== NaN, +0 === -0); == coerces (null == undefined, number conversions, ToPrimitive for objects); Object.is SameValue.</t>
  </si>
  <si>
    <t>Q108</t>
  </si>
  <si>
    <t>Operator precedence</t>
  </si>
  <si>
    <t>Explain operator precedence with an example.</t>
  </si>
  <si>
    <t>e.g. 2 + 3 * 4 = 14, &amp;&amp; before ||, ?? can't mix with || without parens, assignment right-associative.</t>
  </si>
  <si>
    <t>Q109</t>
  </si>
  <si>
    <t>Type conversion &amp; operators</t>
  </si>
  <si>
    <t>Explain type auto-conversion; what are unary, binary and ternary operators?</t>
  </si>
  <si>
    <t>Implicit to string/number/boolean; unary +x, !x, typeof; binary a + b; ternary cond ? a : b.</t>
  </si>
  <si>
    <t>Q110</t>
  </si>
  <si>
    <t>typeof vs instanceof</t>
  </si>
  <si>
    <t>typeof vs instanceof — show the difference in examples.</t>
  </si>
  <si>
    <t>typeof returns primitive type string ('object' for null/arrays); instanceof checks prototype chain; Array.isArray for arrays.</t>
  </si>
  <si>
    <t>Q111</t>
  </si>
  <si>
    <t>Prototype inheritance</t>
  </si>
  <si>
    <t>Implement prototype inheritance; what are pros and cons?</t>
  </si>
  <si>
    <t>Child.prototype = Object.create(Parent.prototype), call Parent in Child; memory-efficient shared methods vs shared mutable state pitfalls, chain lookups.</t>
  </si>
  <si>
    <t>Q112</t>
  </si>
  <si>
    <t>Primitive vs reference</t>
  </si>
  <si>
    <t>Primitive vs reference types; pass by value vs pass by reference — with example.</t>
  </si>
  <si>
    <t>Primitives copied; objects share reference value; mutating param object visible outside, reassigning not.</t>
  </si>
  <si>
    <t>Q113</t>
  </si>
  <si>
    <t>Promises vs async/await</t>
  </si>
  <si>
    <t>What is a Promise and why use it? Show equivalent code with Promise chains and async/await.</t>
  </si>
  <si>
    <t>Represents future value; avoids callback hell; .then/.catch vs try/await/catch; both use microtasks.</t>
  </si>
  <si>
    <t>Q114</t>
  </si>
  <si>
    <t>Fetch API</t>
  </si>
  <si>
    <t>How does the Fetch API work? Handle errors and cancellation.</t>
  </si>
  <si>
    <t>Returns Promise&lt;Response&gt;; check res.ok; res.json(); AbortController; only rejects on network errors.</t>
  </si>
  <si>
    <t>Q115</t>
  </si>
  <si>
    <t>Iteration protocols</t>
  </si>
  <si>
    <t>for...in vs for...of; what is Symbol.iterator? Create a custom iterator.</t>
  </si>
  <si>
    <t>for...in keys, for...of iterables; object with [Symbol.iterator]() returning {next(){return {value, done}}}.</t>
  </si>
  <si>
    <t>Q116</t>
  </si>
  <si>
    <t>Iterators vs generators</t>
  </si>
  <si>
    <t>Iterators vs generators — basic differences.</t>
  </si>
  <si>
    <t>Generator function* returns iterator automatically, pauses with yield, can receive values via next(v); less boilerplate.</t>
  </si>
  <si>
    <t>Q117</t>
  </si>
  <si>
    <t>Property descriptors</t>
  </si>
  <si>
    <t>What are object property descriptors? How does for...in decide what to iterate?</t>
  </si>
  <si>
    <t>value, writable, enumerable, configurable (+get/set); Object.defineProperty; for...in iterates enumerable string keys incl. inherited.</t>
  </si>
  <si>
    <t>Q118</t>
  </si>
  <si>
    <t>Rest / destructuring</t>
  </si>
  <si>
    <t>Use the rest operator when destructuring object properties.</t>
  </si>
  <si>
    <t>const {password, ...safeUser} = user; omits fields immutably.</t>
  </si>
  <si>
    <t>Q119</t>
  </si>
  <si>
    <t>Throw, catch and create custom errors.</t>
  </si>
  <si>
    <t>throw new Error; try/catch/finally; class X extends Error; error.cause; async errors with await/catch.</t>
  </si>
  <si>
    <t>Q120</t>
  </si>
  <si>
    <t>Immutability</t>
  </si>
  <si>
    <t>What are immutable types and how does immutability work under the hood?</t>
  </si>
  <si>
    <t>Primitives immutable (string methods return new strings); Object.freeze shallow; immutable updates via spread; structural sharing in libs.</t>
  </si>
  <si>
    <t>Q121</t>
  </si>
  <si>
    <t>Function patterns</t>
  </si>
  <si>
    <t>Implement function patterns: memoize, curry, chaining, pipe.</t>
  </si>
  <si>
    <t>memo with Map cache; curry via fn.length recursion; chaining returns this; pipe = (...fns) =&gt; x =&gt; fns.reduce((v, f) =&gt; f(v), x).</t>
  </si>
  <si>
    <t>Q122</t>
  </si>
  <si>
    <t>Private properties</t>
  </si>
  <si>
    <t>How do you create private properties in a class? Show the WeakMap pattern.</t>
  </si>
  <si>
    <t>#field syntax; WeakMap keyed by instance in module scope; closures.</t>
  </si>
  <si>
    <t>Q123</t>
  </si>
  <si>
    <t>Primitive types</t>
  </si>
  <si>
    <t>Difference between any and unknown? When to use never?</t>
  </si>
  <si>
    <t>any disables checking; unknown requires narrowing before use; never = impossible value (exhaustive checks, functions that throw).</t>
  </si>
  <si>
    <t>Q124</t>
  </si>
  <si>
    <t>Enums</t>
  </si>
  <si>
    <t>What pitfalls do numeric enums have, and what alternatives exist?</t>
  </si>
  <si>
    <t>Reverse mapping, any number assignable (older TS), runtime code; alternatives: const enums, string literal unions, 'as const' objects.</t>
  </si>
  <si>
    <t>Q125</t>
  </si>
  <si>
    <t>Interfaces vs Types</t>
  </si>
  <si>
    <t>Interface vs type alias — when do you pick which?</t>
  </si>
  <si>
    <t>Interfaces: declaration merging, extends, object shapes; types: unions, intersections, mapped/conditional types. Either fine for objects; be consistent.</t>
  </si>
  <si>
    <t>Q126</t>
  </si>
  <si>
    <t>Generics</t>
  </si>
  <si>
    <t>Write a generic function getProp&lt;T, K extends keyof T&gt;(obj: T, key: K): T[K].</t>
  </si>
  <si>
    <t>Uses generic constraints with keyof and indexed access types; explains type inference of K.</t>
  </si>
  <si>
    <t>Q127</t>
  </si>
  <si>
    <t>Utility types</t>
  </si>
  <si>
    <t>Explain Partial, Pick, Omit, Record, ReturnType and Parameters.</t>
  </si>
  <si>
    <t>Mapped/conditional built-ins for transforming types; examples like Partial&lt;User&gt; for update DTO.</t>
  </si>
  <si>
    <t>Q128</t>
  </si>
  <si>
    <t>Type narrowing</t>
  </si>
  <si>
    <t>Implement a discriminated union for Shape and an exhaustive switch.</t>
  </si>
  <si>
    <t>kind: 'circle' | 'square'; switch on kind; default: const _x: never = shape. Mention custom type predicates (x is T) and satisfies.</t>
  </si>
  <si>
    <t>Q129</t>
  </si>
  <si>
    <t>Functions</t>
  </si>
  <si>
    <t>How do you type function overloads and 'this' in a function?</t>
  </si>
  <si>
    <t>Multiple overload signatures followed by implementation; 'this' as first fake parameter.</t>
  </si>
  <si>
    <t>Q130</t>
  </si>
  <si>
    <t>Classes</t>
  </si>
  <si>
    <t>Explain abstract classes, access modifiers and the override keyword.</t>
  </si>
  <si>
    <t>abstract can't be instantiated, defines contract; public/private/protected/readonly; override ensures base method exists (noImplicitOverride).</t>
  </si>
  <si>
    <t>Q131</t>
  </si>
  <si>
    <t>TS Config</t>
  </si>
  <si>
    <t>What does 'strict' turn on and why is strictNullChecks important?</t>
  </si>
  <si>
    <t>noImplicitAny, strictNullChecks, strictFunctionTypes, strictPropertyInitialization, useUnknownInCatchVariables, etc.; null/undefined must be handled explicitly.</t>
  </si>
  <si>
    <t>Q132</t>
  </si>
  <si>
    <t>Type manipulation</t>
  </si>
  <si>
    <t>Write a mapped type that makes all properties of T readonly and nullable.</t>
  </si>
  <si>
    <t>type RN&lt;T&gt; = { readonly [K in keyof T]: T[K] | null }; mention template literal types and key remapping (as).</t>
  </si>
  <si>
    <t>Q133</t>
  </si>
  <si>
    <t>Decorators</t>
  </si>
  <si>
    <t>What are decorators and in what order are they evaluated/executed?</t>
  </si>
  <si>
    <t>Functions annotating classes/members; factories evaluated top-down, decorators applied bottom-up; Angular uses them heavily.</t>
  </si>
  <si>
    <t>Q134</t>
  </si>
  <si>
    <t>Modules / compiler</t>
  </si>
  <si>
    <t>What do isolatedModules, path aliases and incremental builds do?</t>
  </si>
  <si>
    <t>isolatedModules ensures per-file transpilation safety (esbuild/babel); paths for aliases; incremental caches .tsbuildinfo.</t>
  </si>
  <si>
    <t>Q135</t>
  </si>
  <si>
    <t>Basics</t>
  </si>
  <si>
    <t>What is TypeScript and what are its advantages?</t>
  </si>
  <si>
    <t>Typed superset compiling to JS; catches errors early, tooling/autocomplete, refactoring, self-documenting code.</t>
  </si>
  <si>
    <t>Q136</t>
  </si>
  <si>
    <t>tsconfig</t>
  </si>
  <si>
    <t>What do you configure in tsconfig.json?</t>
  </si>
  <si>
    <t>target, module, strict, lib, outDir, rootDir, paths/baseUrl, include/exclude, sourceMap, jsx.</t>
  </si>
  <si>
    <t>Q137</t>
  </si>
  <si>
    <t>Primitives</t>
  </si>
  <si>
    <t>List TypeScript primitives and built-in types.</t>
  </si>
  <si>
    <t>string, number, boolean, bigint, symbol, null, undefined, any, unknown, never, void, object, arrays, tuples.</t>
  </si>
  <si>
    <t>Q138</t>
  </si>
  <si>
    <t>Assertions &amp; inference</t>
  </si>
  <si>
    <t>Type assertions vs type inference?</t>
  </si>
  <si>
    <t>Inference: compiler deduces types; assertion (as T) tells compiler to trust you — no runtime check, can hide bugs; non-null assertion !.</t>
  </si>
  <si>
    <t>Q139</t>
  </si>
  <si>
    <t>Unions &amp; intersections</t>
  </si>
  <si>
    <t>Explain union (|) and intersection (&amp;) types.</t>
  </si>
  <si>
    <t>Union: one of; intersection: all combined; narrowing needed for unions.</t>
  </si>
  <si>
    <t>Q140</t>
  </si>
  <si>
    <t>any / unknown / never</t>
  </si>
  <si>
    <t>Using any, unknown and never — give examples.</t>
  </si>
  <si>
    <t>unknown requires narrowing (catch errors, JSON.parse); never for exhaustive checks/throwing functions.</t>
  </si>
  <si>
    <t>Q141</t>
  </si>
  <si>
    <t>Tuples</t>
  </si>
  <si>
    <t>What is a tuple and use cases?</t>
  </si>
  <si>
    <t>Fixed-length typed array [string, number]; useState return, coordinates, labeled/optional elements.</t>
  </si>
  <si>
    <t>Q142</t>
  </si>
  <si>
    <t>Functions in TS — how do they differ from ES6 functions?</t>
  </si>
  <si>
    <t>Typed params/returns, optional/default params, overloads, this typing, generics; same runtime.</t>
  </si>
  <si>
    <t>Q143</t>
  </si>
  <si>
    <t>Numeric vs string enums.</t>
  </si>
  <si>
    <t>Numeric auto-increment with reverse mapping; string enums explicit values, no reverse mapping; const enums inlined.</t>
  </si>
  <si>
    <t>Q144</t>
  </si>
  <si>
    <t>Interfaces</t>
  </si>
  <si>
    <t>What is an interface? How do you define and extend it?</t>
  </si>
  <si>
    <t>interface A {x: number}; interface B extends A {...}; optional/readonly props; declaration merging.</t>
  </si>
  <si>
    <t>Q145</t>
  </si>
  <si>
    <t>Type alias vs interface</t>
  </si>
  <si>
    <t>What is a type alias? Differences from interfaces?</t>
  </si>
  <si>
    <t>type can represent unions/primitives/tuples/mapped types; interfaces mergeable and extendable; similar for object shapes.</t>
  </si>
  <si>
    <t>Q146</t>
  </si>
  <si>
    <t>Classes vs interfaces</t>
  </si>
  <si>
    <t>Classes vs interfaces — differences?</t>
  </si>
  <si>
    <t>Classes exist at runtime with implementation; interfaces compile-time only contracts; class implements interface.</t>
  </si>
  <si>
    <t>Q147</t>
  </si>
  <si>
    <t>Access modifiers</t>
  </si>
  <si>
    <t>What are access modifiers and how do they differ?</t>
  </si>
  <si>
    <t>public, private, protected, readonly; TS private is compile-time only vs JS #private runtime.</t>
  </si>
  <si>
    <t>Q148</t>
  </si>
  <si>
    <t>Static members</t>
  </si>
  <si>
    <t>How do static class properties work?</t>
  </si>
  <si>
    <t>Belong to class constructor, not instances; accessed via ClassName.prop; shared state/factories.</t>
  </si>
  <si>
    <t>Q149</t>
  </si>
  <si>
    <t>Abstract classes</t>
  </si>
  <si>
    <t>Abstract classes — use cases?</t>
  </si>
  <si>
    <t>Base class with shared implementation + abstract members subclasses must implement; can't instantiate.</t>
  </si>
  <si>
    <t>Q150</t>
  </si>
  <si>
    <t>Template literal types</t>
  </si>
  <si>
    <t>What are template literal types? Example.</t>
  </si>
  <si>
    <t>type EventName = `on${Capitalize&lt;'click' | 'focus'&gt;}` → 'onClick' | 'onFocus'.</t>
  </si>
  <si>
    <t>Q151</t>
  </si>
  <si>
    <t>?. vs ??</t>
  </si>
  <si>
    <t>Difference between optional chaining and nullish coalescing?</t>
  </si>
  <si>
    <t>?. short-circuits on null/undefined when accessing; ?? provides default only for null/undefined (unlike || for falsy).</t>
  </si>
  <si>
    <t>Q152</t>
  </si>
  <si>
    <t>keyof</t>
  </si>
  <si>
    <t>keyof type operator — use cases.</t>
  </si>
  <si>
    <t>Union of property keys; generic getters, mapped types, constraint K extends keyof T.</t>
  </si>
  <si>
    <t>Q153</t>
  </si>
  <si>
    <t>What are decorators and what can you attach them to?</t>
  </si>
  <si>
    <t>Functions applied to classes, methods, accessors, properties, parameters; metadata, DI, logging (Angular).</t>
  </si>
  <si>
    <t>Q154</t>
  </si>
  <si>
    <t>Decorator factories</t>
  </si>
  <si>
    <t>What is a decorator factory? Example.</t>
  </si>
  <si>
    <t>Function returning decorator to accept config: function Log(prefix){return (target, key, desc) =&gt; {...}}.</t>
  </si>
  <si>
    <t>Q155</t>
  </si>
  <si>
    <t>What are generics and why use them? Example.</t>
  </si>
  <si>
    <t>Reusable type-safe code; function identity&lt;T&gt;(x: T): T; generic constraints and defaults.</t>
  </si>
  <si>
    <t>Q156</t>
  </si>
  <si>
    <t>Which utility types do you know? Describe Record, Partial, Readonly, Required and others.</t>
  </si>
  <si>
    <t>Record&lt;K,V&gt;, Partial, Required, Readonly, Pick, Omit, Exclude, Extract, NonNullable, ReturnType, Parameters, Awaited.</t>
  </si>
  <si>
    <t>Q157</t>
  </si>
  <si>
    <t>Namespaces</t>
  </si>
  <si>
    <t>What is a namespace? Difference from ES modules?</t>
  </si>
  <si>
    <t>Namespace: TS-specific global grouping (legacy, declaration files); ES modules file-scoped, standard, preferred.</t>
  </si>
  <si>
    <t>Q158</t>
  </si>
  <si>
    <t>Dynamic import</t>
  </si>
  <si>
    <t>What are dynamic import expressions?</t>
  </si>
  <si>
    <t>import('./mod') returns Promise; code splitting, lazy loading; typed via typeof import().</t>
  </si>
  <si>
    <t>Q159</t>
  </si>
  <si>
    <t>Packages &amp; versioning</t>
  </si>
  <si>
    <t>Explain semantic versioning and ^ vs ~ in package.json.</t>
  </si>
  <si>
    <t>MAJOR.MINOR.PATCH; ^ allows minor+patch updates, ~ only patch; lock files pin exact tree.</t>
  </si>
  <si>
    <t>Q160</t>
  </si>
  <si>
    <t>Packages</t>
  </si>
  <si>
    <t>dependencies vs devDependencies vs peerDependencies; npm install vs npm ci?</t>
  </si>
  <si>
    <t>Runtime vs build-time vs provided by host; npm ci installs exactly from lockfile, clean and reproducible (CI).</t>
  </si>
  <si>
    <t>Q161</t>
  </si>
  <si>
    <t>How would you publish a package to npm and release a new version?</t>
  </si>
  <si>
    <t>npm login, package name/files/main/exports, npm version patch|minor|major, npm publish; scoped packages, .npmignore.</t>
  </si>
  <si>
    <t>Q162</t>
  </si>
  <si>
    <t>Chrome DevTools</t>
  </si>
  <si>
    <t>How do you debug a JS bug in Chrome DevTools beyond console.log?</t>
  </si>
  <si>
    <t>Sources breakpoints, conditional breakpoints, step over/into, watch, call stack, scope; Network tab, Elements, Performance; debugger statement.</t>
  </si>
  <si>
    <t>Q163</t>
  </si>
  <si>
    <t>ESLint / Prettier</t>
  </si>
  <si>
    <t>What is the difference between ESLint and Prettier and how do you make them work together?</t>
  </si>
  <si>
    <t>ESLint: code quality rules; Prettier: formatting; eslint-config-prettier disables conflicting rules; run via pre-commit (husky, lint-staged).</t>
  </si>
  <si>
    <t>Q164</t>
  </si>
  <si>
    <t>History API</t>
  </si>
  <si>
    <t>How does client-side routing work with the History API?</t>
  </si>
  <si>
    <t>pushState/replaceState change URL without reload; popstate on back/forward; server must fallback to index.html for deep links.</t>
  </si>
  <si>
    <t>Q165</t>
  </si>
  <si>
    <t>Web Storage</t>
  </si>
  <si>
    <t>Compare cookies, localStorage, sessionStorage and IndexedDB.</t>
  </si>
  <si>
    <t>Cookies sent with requests, ~4KB, HttpOnly/Secure/SameSite; localStorage persistent ~5MB sync string-only; sessionStorage per tab; IndexedDB async, large, structured, transactions.</t>
  </si>
  <si>
    <t>Q166</t>
  </si>
  <si>
    <t>Web Storage security</t>
  </si>
  <si>
    <t>Is it safe to store a JWT in localStorage?</t>
  </si>
  <si>
    <t>Readable by any JS → XSS risk; HttpOnly cookies safer against XSS but need CSRF protection (SameSite, tokens).</t>
  </si>
  <si>
    <t>Q167</t>
  </si>
  <si>
    <t>IndexedDB</t>
  </si>
  <si>
    <t>Describe IndexedDB core concepts: database, object store, transaction, index, cursor.</t>
  </si>
  <si>
    <t>Versioned DB with onupgradeneeded; stores hold records by key; transactions readonly/readwrite; indexes for lookup; cursors to iterate.</t>
  </si>
  <si>
    <t>Q168</t>
  </si>
  <si>
    <t>Offline</t>
  </si>
  <si>
    <t>How do you detect offline mode and what replaced Application Cache?</t>
  </si>
  <si>
    <t>navigator.onLine + online/offline events; AppCache deprecated, replaced by Service Workers + Cache API.</t>
  </si>
  <si>
    <t>Q169</t>
  </si>
  <si>
    <t>Drag'n'Drop</t>
  </si>
  <si>
    <t>Which events and objects are involved in native drag and drop?</t>
  </si>
  <si>
    <t>draggable=true; dragstart, dragover (preventDefault to allow drop), drop, dragend; DataTransfer setData/getData.</t>
  </si>
  <si>
    <t>Q170</t>
  </si>
  <si>
    <t>Geolocation</t>
  </si>
  <si>
    <t>How do you get the user's position and handle denial?</t>
  </si>
  <si>
    <t>navigator.geolocation.getCurrentPosition(success, error, options); requires HTTPS and permission; handle PERMISSION_DENIED, TIMEOUT.</t>
  </si>
  <si>
    <t>Q171</t>
  </si>
  <si>
    <t>Server-sent events / Comet</t>
  </si>
  <si>
    <t>Compare long polling, SSE and WebSockets.</t>
  </si>
  <si>
    <t>Long polling: repeated held requests; SSE: one-way server→client over HTTP (EventSource, auto-reconnect); WebSocket: full duplex.</t>
  </si>
  <si>
    <t>Q172</t>
  </si>
  <si>
    <t>Video &amp; Audio</t>
  </si>
  <si>
    <t>Which media element properties/events would you use to build a custom video player?</t>
  </si>
  <si>
    <t>play(), pause(), currentTime, duration, volume, muted; events: play, pause, timeupdate, ended, loadedmetadata; MSE/DASH for adaptive streaming.</t>
  </si>
  <si>
    <t>Q173</t>
  </si>
  <si>
    <t>window / location / navigator</t>
  </si>
  <si>
    <t>What is in window.location and how do client vs server navigation differ?</t>
  </si>
  <si>
    <t>href, protocol, host, pathname, search, hash; assign/replace/reload; client-side changes URL without full reload.</t>
  </si>
  <si>
    <t>Q174</t>
  </si>
  <si>
    <t>DOM selectors</t>
  </si>
  <si>
    <t>querySelectorAll vs getElementsByClassName — what's the difference?</t>
  </si>
  <si>
    <t>Static NodeList vs live HTMLCollection; querySelector takes CSS selectors; getElementById fastest.</t>
  </si>
  <si>
    <t>Q175</t>
  </si>
  <si>
    <t>DOM traversing</t>
  </si>
  <si>
    <t>How do you traverse the DOM vertically and horizontally?</t>
  </si>
  <si>
    <t>parentElement, children, firstElementChild, closest(); nextElementSibling/previousElementSibling; childNodes includes text nodes.</t>
  </si>
  <si>
    <t>Q176</t>
  </si>
  <si>
    <t>DOM modification</t>
  </si>
  <si>
    <t>Insert 1000 list items efficiently. Why is it efficient?</t>
  </si>
  <si>
    <t>Build in DocumentFragment or string then insert once (append/replaceChildren); avoid layout thrashing by batching reads and writes.</t>
  </si>
  <si>
    <t>Q177</t>
  </si>
  <si>
    <t>Difference between attributes and properties? How do data attributes work?</t>
  </si>
  <si>
    <t>Attributes in HTML, properties on DOM object; input.value vs getAttribute('value'); data-user-id → el.dataset.userId.</t>
  </si>
  <si>
    <t>Q178</t>
  </si>
  <si>
    <t>CSS scripting</t>
  </si>
  <si>
    <t>How do you toggle a class and set inline styles from JS? Why prefer classes?</t>
  </si>
  <si>
    <t>classList.add/remove/toggle/contains; el.style.prop; classes keep styling in CSS and reduce reflows.</t>
  </si>
  <si>
    <t>Q179</t>
  </si>
  <si>
    <t>Events propagation</t>
  </si>
  <si>
    <t>Explain capturing, target and bubbling phases; stopPropagation vs preventDefault.</t>
  </si>
  <si>
    <t>Event travels down then up; stopPropagation halts travel; preventDefault cancels default browser action.</t>
  </si>
  <si>
    <t>Q180</t>
  </si>
  <si>
    <t>Event delegation</t>
  </si>
  <si>
    <t>Implement event delegation for a dynamic list of buttons.</t>
  </si>
  <si>
    <t>Single listener on parent; use event.target.closest('button') and check containment; benefits: fewer listeners, works for new items.</t>
  </si>
  <si>
    <t>Q181</t>
  </si>
  <si>
    <t>Timers</t>
  </si>
  <si>
    <t>setTimeout vs requestAnimationFrame for animations?</t>
  </si>
  <si>
    <t>rAF syncs with display refresh, pauses in background tabs, avoids jank; setTimeout not frame-aligned, minimum delay clamping.</t>
  </si>
  <si>
    <t>Q182</t>
  </si>
  <si>
    <t>AJAX / fetch</t>
  </si>
  <si>
    <t>Make a POST request with fetch, JSON body and error handling. Does fetch reject on 404?</t>
  </si>
  <si>
    <t>fetch(url, {method:'POST', headers:{'Content-Type':'application/json'}, body: JSON.stringify(d)}); check res.ok — fetch only rejects on network errors; AbortController for cancel.</t>
  </si>
  <si>
    <t>Q183</t>
  </si>
  <si>
    <t>Cross-domain</t>
  </si>
  <si>
    <t>What is CORS and how did JSONP work around same-origin policy?</t>
  </si>
  <si>
    <t>Server opt-in via Access-Control-Allow-* headers, preflight OPTIONS for non-simple requests; JSONP used &lt;script&gt; tag with callback, GET-only and insecure.</t>
  </si>
  <si>
    <t>Q184</t>
  </si>
  <si>
    <t>Modules</t>
  </si>
  <si>
    <t>Compare CommonJS, AMD, UMD and ES modules.</t>
  </si>
  <si>
    <t>CJS: require/module.exports, sync, Node; AMD: async define for browsers; UMD: works in both; ESM: static import/export, tree-shakable, live bindings.</t>
  </si>
  <si>
    <t>Q185</t>
  </si>
  <si>
    <t>Cookies</t>
  </si>
  <si>
    <t>Explain cookie attributes: HttpOnly, Secure, SameSite, Domain, Path, Expires.</t>
  </si>
  <si>
    <t>HttpOnly not readable by JS; Secure only HTTPS; SameSite Strict/Lax/None controls cross-site sending; scope and lifetime.</t>
  </si>
  <si>
    <t>Q186</t>
  </si>
  <si>
    <t>matches / closest</t>
  </si>
  <si>
    <t>Explain how element.matches() and element.closest() work.</t>
  </si>
  <si>
    <t>matches(selector) tests element; closest(selector) walks up ancestors incl. self, returns first match or null.</t>
  </si>
  <si>
    <t>Q187</t>
  </si>
  <si>
    <t>Attributes API</t>
  </si>
  <si>
    <t>How do you get, set, remove and check an attribute on an element?</t>
  </si>
  <si>
    <t>getAttribute, setAttribute, removeAttribute, hasAttribute, toggleAttribute.</t>
  </si>
  <si>
    <t>Q188</t>
  </si>
  <si>
    <t>Event handlers</t>
  </si>
  <si>
    <t>Three ways to add a handler to a DOM event?</t>
  </si>
  <si>
    <t>HTML attribute onclick="", DOM property el.onclick =, addEventListener (multiple handlers, options).</t>
  </si>
  <si>
    <t>Q189</t>
  </si>
  <si>
    <t>Capturing</t>
  </si>
  <si>
    <t>How do you add an event handler for the capturing phase?</t>
  </si>
  <si>
    <t>addEventListener(type, handler, true) or {capture: true}.</t>
  </si>
  <si>
    <t>Q190</t>
  </si>
  <si>
    <t>stopPropagation</t>
  </si>
  <si>
    <t>Difference between stopPropagation and stopImmediatePropagation?</t>
  </si>
  <si>
    <t>stopPropagation stops further propagation to other elements; stopImmediatePropagation also prevents other listeners on the same element.</t>
  </si>
  <si>
    <t>Q191</t>
  </si>
  <si>
    <t>Prevent default</t>
  </si>
  <si>
    <t>Two ways to prevent the browser's default action?</t>
  </si>
  <si>
    <t>event.preventDefault(); return false from on&lt;event&gt; property handler; passive listeners can't prevent.</t>
  </si>
  <si>
    <t>Q192</t>
  </si>
  <si>
    <t>Explain event delegation.</t>
  </si>
  <si>
    <t>One listener on ancestor, use event.target/closest to find source; works for dynamic children.</t>
  </si>
  <si>
    <t>Q193</t>
  </si>
  <si>
    <t>Custom events</t>
  </si>
  <si>
    <t>How do you dispatch a custom event?</t>
  </si>
  <si>
    <t>new CustomEvent(name, {detail, bubbles}); el.dispatchEvent(evt).</t>
  </si>
  <si>
    <t>Q194</t>
  </si>
  <si>
    <t>Selector methods</t>
  </si>
  <si>
    <t>How do getElementById, getElementsByTagName/ClassName and querySelector/All work?</t>
  </si>
  <si>
    <t>getElementsBy* return live HTMLCollection; querySelectorAll returns static NodeList; getElementById fastest; querySelector first match by CSS selector.</t>
  </si>
  <si>
    <t>Q195</t>
  </si>
  <si>
    <t>innerHTML vs outerHTML</t>
  </si>
  <si>
    <t>Difference between innerHTML and outerHTML?</t>
  </si>
  <si>
    <t>innerHTML = contents; outerHTML includes element itself; setting outerHTML replaces element; XSS risk with untrusted input.</t>
  </si>
  <si>
    <t>Q196</t>
  </si>
  <si>
    <t>DOM traversal</t>
  </si>
  <si>
    <t>Write a recursive function that walks the DOM tree (e.g., counts elements or collects text).</t>
  </si>
  <si>
    <t>function walk(node, cb){cb(node); for (const c of node.children) walk(c, cb)}; or TreeWalker.</t>
  </si>
  <si>
    <t>Q197</t>
  </si>
  <si>
    <t>Events overview</t>
  </si>
  <si>
    <t>Summarize adding events, capturing/bubbling, preventDefault, stopPropagation and stopImmediatePropagation.</t>
  </si>
  <si>
    <t>Combines propagation phases and control methods; when to use each.</t>
  </si>
  <si>
    <t>Q198</t>
  </si>
  <si>
    <t>BOM</t>
  </si>
  <si>
    <t>What is the BOM? Cover navigation, history, location, localStorage, sessionStorage and global objects.</t>
  </si>
  <si>
    <t>Browser Object Model: window, navigator, location, history, screen, storage, timers; window is global object.</t>
  </si>
  <si>
    <t>Q199</t>
  </si>
  <si>
    <t>Event loop</t>
  </si>
  <si>
    <t>Explain the event loop with examples.</t>
  </si>
  <si>
    <t>Call stack, Web APIs, macrotask queue, microtask queue (promises, queueMicrotask), rendering steps; microtasks drained after each task.</t>
  </si>
  <si>
    <t>Q200</t>
  </si>
  <si>
    <t>requestAnimationFrame</t>
  </si>
  <si>
    <t>What is requestAnimationFrame and when do you use it?</t>
  </si>
  <si>
    <t>Callback before next repaint (~60fps), batched with rendering, paused in background; use for animations and visual updates.</t>
  </si>
  <si>
    <t>Q201</t>
  </si>
  <si>
    <t>XMLHttpRequest</t>
  </si>
  <si>
    <t>Describe the XMLHttpRequest object.</t>
  </si>
  <si>
    <t>open(method, url), setRequestHeader, send, onload/onerror/readyState, responseType, status; callback-based predecessor of fetch; supports upload progress.</t>
  </si>
  <si>
    <t>Q202</t>
  </si>
  <si>
    <t>Storage</t>
  </si>
  <si>
    <t>Explain cookies, localStorage and sessionStorage.</t>
  </si>
  <si>
    <t>Cookies sent with requests, small, expiry/flags; localStorage persistent per origin; sessionStorage per tab session.</t>
  </si>
  <si>
    <t>Q203</t>
  </si>
  <si>
    <t>DOM &amp; CSSOM</t>
  </si>
  <si>
    <t>What are the DOM and CSSOM?</t>
  </si>
  <si>
    <t>Object models built from HTML and CSS; combined into render tree for layout and paint.</t>
  </si>
  <si>
    <t>Q204</t>
  </si>
  <si>
    <t>Load events</t>
  </si>
  <si>
    <t>Difference between DOMContentLoaded and window load?</t>
  </si>
  <si>
    <t>DOMContentLoaded after HTML parsed and deferred scripts ran; load after all resources (images, styles) loaded.</t>
  </si>
  <si>
    <t>Q205</t>
  </si>
  <si>
    <t>Critical rendering path</t>
  </si>
  <si>
    <t>Describe the critical rendering path and how to optimize it.</t>
  </si>
  <si>
    <t>HTML → DOM, CSS → CSSOM, render tree, layout, paint, composite; render-blocking CSS/JS, inline critical CSS, defer JS, preload.</t>
  </si>
  <si>
    <t>Q206</t>
  </si>
  <si>
    <t>UI building</t>
  </si>
  <si>
    <t>Why use a framework instead of vanilla JS? What problems does it solve?</t>
  </si>
  <si>
    <t>Declarative UI, state→view sync, component reuse, ecosystem (routing, testing), team conventions.</t>
  </si>
  <si>
    <t>Q207</t>
  </si>
  <si>
    <t>Component communication</t>
  </si>
  <si>
    <t>Describe component communication patterns in your framework.</t>
  </si>
  <si>
    <t>Parent→child props/inputs, child→parent callbacks/events/outputs, shared services/context, global store, event bus.</t>
  </si>
  <si>
    <t>Q208</t>
  </si>
  <si>
    <t>State management</t>
  </si>
  <si>
    <t>When do you need a state management library (Redux/NgRx/MobX)?</t>
  </si>
  <si>
    <t>Shared state across distant components, complex updates, caching, debugging/time travel; avoid for purely local state.</t>
  </si>
  <si>
    <t>Q209</t>
  </si>
  <si>
    <t>Routing</t>
  </si>
  <si>
    <t>How do you implement protected routes and lazy-loaded routes?</t>
  </si>
  <si>
    <t>Guards/wrapper components checking auth with redirect; dynamic import/lazy loading for code splitting.</t>
  </si>
  <si>
    <t>Q210</t>
  </si>
  <si>
    <t>Design systems</t>
  </si>
  <si>
    <t>What benefits does a design system/component library bring?</t>
  </si>
  <si>
    <t>Consistency, accessibility baked in, faster delivery, single source of truth for tokens and components.</t>
  </si>
  <si>
    <t>Q211</t>
  </si>
  <si>
    <t>Unit testing</t>
  </si>
  <si>
    <t>How do you unit-test a component? What do you test and what do you mock?</t>
  </si>
  <si>
    <t>Testing Library/TestBed + Jest/Vitest; test behaviour from user perspective, mock HTTP/services, avoid implementation details.</t>
  </si>
  <si>
    <t>Q212</t>
  </si>
  <si>
    <t>Rendering</t>
  </si>
  <si>
    <t>What triggers a re-render in React? What is reconciliation and why are keys needed?</t>
  </si>
  <si>
    <t>State/prop/context changes, parent re-render; virtual DOM diff; stable unique keys identify list items — index keys break on reorder.</t>
  </si>
  <si>
    <t>Q213</t>
  </si>
  <si>
    <t>Hooks</t>
  </si>
  <si>
    <t>Explain useEffect dependencies and cleanup. Write an effect that subscribes to window resize.</t>
  </si>
  <si>
    <t>Runs after render; deps array controls re-run; return cleanup to remove listener; stale closures if deps missing.</t>
  </si>
  <si>
    <t>Q214</t>
  </si>
  <si>
    <t>React DOM / refs</t>
  </si>
  <si>
    <t>When do you use useRef? Explain forwardRef and callback refs.</t>
  </si>
  <si>
    <t>Access DOM nodes or keep mutable value without re-render; forwardRef passes ref to child DOM (React 19: ref as prop); callback ref runs on attach/detach.</t>
  </si>
  <si>
    <t>Q215</t>
  </si>
  <si>
    <t>Controlled vs uncontrolled components — build a controlled input.</t>
  </si>
  <si>
    <t>Controlled: value from state + onChange; uncontrolled: DOM keeps state, read via ref/defaultValue; trade-offs.</t>
  </si>
  <si>
    <t>Q216</t>
  </si>
  <si>
    <t>Context</t>
  </si>
  <si>
    <t>When should you use Context and what is its performance pitfall?</t>
  </si>
  <si>
    <t>Avoid prop drilling for global-ish data (theme, auth); all consumers re-render on value change — split contexts, memoize value.</t>
  </si>
  <si>
    <t>Q217</t>
  </si>
  <si>
    <t>Performance</t>
  </si>
  <si>
    <t>When do React.memo, useMemo and useCallback help, and when are they useless?</t>
  </si>
  <si>
    <t>Prevent re-renders of memoized children / expensive recomputation; useless without stable props or for cheap work; Profiler to measure.</t>
  </si>
  <si>
    <t>Q218</t>
  </si>
  <si>
    <t>Redux</t>
  </si>
  <si>
    <t>Describe Redux data flow and the role of useSelector/useDispatch.</t>
  </si>
  <si>
    <t>Action → reducer (pure) → new state → subscribers re-render; useSelector reads slice, useDispatch dispatches; Redux Toolkit recommended.</t>
  </si>
  <si>
    <t>Q219</t>
  </si>
  <si>
    <t>Redux async</t>
  </si>
  <si>
    <t>How do you handle async logic in Redux? What does middleware do?</t>
  </si>
  <si>
    <t>Middleware intercepts actions; Redux Thunk lets action creators return functions with dispatch/getState; createAsyncThunk / RTK Query.</t>
  </si>
  <si>
    <t>Q220</t>
  </si>
  <si>
    <t>Presentational vs container</t>
  </si>
  <si>
    <t>Explain presentational vs container components.</t>
  </si>
  <si>
    <t>Presentational: UI only via props; container: data/logic; hooks reduced need for strict split.</t>
  </si>
  <si>
    <t>Q221</t>
  </si>
  <si>
    <t>Set up react-router with nested routes, a URL param and navigation.</t>
  </si>
  <si>
    <t>createBrowserRouter/Routes, path ':id', useParams, useNavigate, &lt;Outlet/&gt; for nesting, lazy routes.</t>
  </si>
  <si>
    <t>Q222</t>
  </si>
  <si>
    <t>JSX</t>
  </si>
  <si>
    <t>Explain what JSX is.</t>
  </si>
  <si>
    <t>Syntax extension compiled to React.createElement/jsx() calls; expressions in {}, className, must return single root/fragment.</t>
  </si>
  <si>
    <t>Q223</t>
  </si>
  <si>
    <t>Data flow</t>
  </si>
  <si>
    <t>What is unidirectional data flow?</t>
  </si>
  <si>
    <t>Data flows parent → child via props; children notify via callbacks; predictable state.</t>
  </si>
  <si>
    <t>Q224</t>
  </si>
  <si>
    <t>Class vs function</t>
  </si>
  <si>
    <t>Class components vs functional components?</t>
  </si>
  <si>
    <t>Class: this.state, lifecycle methods; functions: hooks, simpler, recommended; error boundaries still need classes.</t>
  </si>
  <si>
    <t>Q225</t>
  </si>
  <si>
    <t>Stateless vs stateful</t>
  </si>
  <si>
    <t>Stateless vs stateful components?</t>
  </si>
  <si>
    <t>Stateless render from props only; stateful manage local state.</t>
  </si>
  <si>
    <t>Q226</t>
  </si>
  <si>
    <t>Props vs state</t>
  </si>
  <si>
    <t>Props vs state?</t>
  </si>
  <si>
    <t>Props: read-only input from parent; state: internal, mutable via setter, triggers re-render.</t>
  </si>
  <si>
    <t>Q227</t>
  </si>
  <si>
    <t>setState</t>
  </si>
  <si>
    <t>How does setState work?</t>
  </si>
  <si>
    <t>Asynchronous/batched (automatic batching in 18), merges for classes, functional updater for previous-state dependency, triggers reconciliation.</t>
  </si>
  <si>
    <t>Q228</t>
  </si>
  <si>
    <t>Lifecycle</t>
  </si>
  <si>
    <t>List React lifecycle methods and their hook equivalents.</t>
  </si>
  <si>
    <t>Mount: constructor, render, componentDidMount; update: shouldComponentUpdate, componentDidUpdate; unmount: componentWillUnmount; hooks: useEffect (with deps/cleanup), useLayoutEffect, React.memo.</t>
  </si>
  <si>
    <t>Q229</t>
  </si>
  <si>
    <t>getDerivedStateFromProps</t>
  </si>
  <si>
    <t>Why do we need getDerivedStateFromProps and why is it static?</t>
  </si>
  <si>
    <t>Sync state to props before render; static so it can't access this/cause side effects — pure function of props and state; rarely needed.</t>
  </si>
  <si>
    <t>Q230</t>
  </si>
  <si>
    <t>Lifecycle gaps in hooks</t>
  </si>
  <si>
    <t>Which lifecycle methods have no hook equivalent?</t>
  </si>
  <si>
    <t>getSnapshotBeforeUpdate, getDerivedStateFromError, componentDidCatch.</t>
  </si>
  <si>
    <t>Q231</t>
  </si>
  <si>
    <t>Deprecated lifecycles</t>
  </si>
  <si>
    <t>Why were componentWillMount/WillReceiveProps/WillUpdate deprecated?</t>
  </si>
  <si>
    <t>Unsafe with concurrent/async rendering — render phase can run multiple times, side effects there cause bugs; UNSAFE_ prefix.</t>
  </si>
  <si>
    <t>Q232</t>
  </si>
  <si>
    <t>Virtual DOM</t>
  </si>
  <si>
    <t>Explain the virtual DOM — pros and cons.</t>
  </si>
  <si>
    <t>In-memory tree, diffed to compute minimal DOM updates; declarative, cross-platform; overhead vs fine-grained reactivity.</t>
  </si>
  <si>
    <t>Q233</t>
  </si>
  <si>
    <t>Reconciliation</t>
  </si>
  <si>
    <t>Explain the re-render mechanism and diffing algorithm.</t>
  </si>
  <si>
    <t>Render produces new tree; heuristic O(n) diff: different type replaces subtree, same type updates props, keys match children; Fiber schedules work.</t>
  </si>
  <si>
    <t>Q234</t>
  </si>
  <si>
    <t>Events</t>
  </si>
  <si>
    <t>How do you handle events in React?</t>
  </si>
  <si>
    <t>camelCase props onClick={handler}; SyntheticEvent; pass args via arrow; preventDefault explicitly; delegated at root.</t>
  </si>
  <si>
    <t>Q235</t>
  </si>
  <si>
    <t>Keys</t>
  </si>
  <si>
    <t>Lists and keys — what happens if two elements have the same key?</t>
  </si>
  <si>
    <t>Keys identify items; duplicates cause warning and wrong reuse/missing/duplicated elements and state bugs.</t>
  </si>
  <si>
    <t>Q236</t>
  </si>
  <si>
    <t>Presentational vs container components?</t>
  </si>
  <si>
    <t>UI-only vs data/logic components; hooks/custom hooks now often replace containers.</t>
  </si>
  <si>
    <t>Q237</t>
  </si>
  <si>
    <t>What is Context in React?</t>
  </si>
  <si>
    <t>createContext, Provider value, useContext; avoids prop drilling; re-renders consumers on value change.</t>
  </si>
  <si>
    <t>Q238</t>
  </si>
  <si>
    <t>Refs</t>
  </si>
  <si>
    <t>What are refs and how do they work?</t>
  </si>
  <si>
    <t>useRef/createRef return {current}; attached to DOM node after commit; mutable without re-render; forwardRef/ref as prop.</t>
  </si>
  <si>
    <t>Q239</t>
  </si>
  <si>
    <t>Error boundaries</t>
  </si>
  <si>
    <t>Describe error boundaries.</t>
  </si>
  <si>
    <t>Class with getDerivedStateFromError/componentDidCatch renders fallback; catches render/lifecycle errors in children, not event handlers or async code.</t>
  </si>
  <si>
    <t>Q240</t>
  </si>
  <si>
    <t>HOC</t>
  </si>
  <si>
    <t>What is a higher-order component? Example.</t>
  </si>
  <si>
    <t>Function taking component returning enhanced component (withAuth(Comp)); largely replaced by hooks.</t>
  </si>
  <si>
    <t>Q241</t>
  </si>
  <si>
    <t>What are React hooks and their rules?</t>
  </si>
  <si>
    <t>Functions using React features in function components (useState, useEffect, useMemo...); call at top level, only in components/custom hooks.</t>
  </si>
  <si>
    <t>Q242</t>
  </si>
  <si>
    <t>How do you optimize React application performance?</t>
  </si>
  <si>
    <t>memo/useMemo/useCallback, keys, code splitting (lazy/Suspense), virtualization, avoid unnecessary context updates, Profiler, transitions.</t>
  </si>
  <si>
    <t>Q243</t>
  </si>
  <si>
    <t>Portals</t>
  </si>
  <si>
    <t>How do portals work in React?</t>
  </si>
  <si>
    <t>createPortal(child, domNode) renders outside parent DOM (modals/tooltips) while keeping React tree (events bubble through React tree).</t>
  </si>
  <si>
    <t>Q244</t>
  </si>
  <si>
    <t>State management with Redux or MobX — compare.</t>
  </si>
  <si>
    <t>Redux: explicit actions/reducers, immutable, devtools; MobX: observable mutable state, less boilerplate, implicit reactivity.</t>
  </si>
  <si>
    <t>Q245</t>
  </si>
  <si>
    <t>Testing</t>
  </si>
  <si>
    <t>Unit testing in React — shallow render vs full render?</t>
  </si>
  <si>
    <t>Shallow (Enzyme) renders one level, isolates; React Testing Library renders fully and tests behaviour; mock modules/network.</t>
  </si>
  <si>
    <t>Q246</t>
  </si>
  <si>
    <t>Components &amp; modules</t>
  </si>
  <si>
    <t>How does view encapsulation work? What are standalone components vs NgModules?</t>
  </si>
  <si>
    <t>Emulated (attribute scoping), ShadowDom, None; :host, ::ng-deep; standalone components import dependencies directly.</t>
  </si>
  <si>
    <t>Q247</t>
  </si>
  <si>
    <t>Component interaction</t>
  </si>
  <si>
    <t>Pass data parent→child and child→parent; implement two-way binding on a custom component.</t>
  </si>
  <si>
    <t>@Input/@Output with EventEmitter (or input()/output()/model() signals); [(value)] requires value input + valueChange output.</t>
  </si>
  <si>
    <t>Q248</t>
  </si>
  <si>
    <t>Lifecycle hooks</t>
  </si>
  <si>
    <t>constructor vs ngOnInit; order of lifecycle hooks?</t>
  </si>
  <si>
    <t>Constructor for DI only, ngOnInit after first inputs; order: OnChanges, OnInit, DoCheck, AfterContentInit/Checked, AfterViewInit/Checked, OnDestroy.</t>
  </si>
  <si>
    <t>Q249</t>
  </si>
  <si>
    <t>Directives</t>
  </si>
  <si>
    <t>Difference between ng-container, ng-template and ng-content? Why trackBy?</t>
  </si>
  <si>
    <t>ng-container groups without DOM element; ng-template defines lazily rendered template; ng-content projection; trackBy avoids re-creating DOM in lists.</t>
  </si>
  <si>
    <t>Q250</t>
  </si>
  <si>
    <t>Pipes</t>
  </si>
  <si>
    <t>Pure vs impure pipes; write a custom pipe.</t>
  </si>
  <si>
    <t>Pure re-runs only on input reference change; impure every CD cycle; @Pipe + transform().</t>
  </si>
  <si>
    <t>Q251</t>
  </si>
  <si>
    <t>RxJS</t>
  </si>
  <si>
    <t>Hot vs cold observables; switchMap vs mergeMap vs concatMap vs exhaustMap.</t>
  </si>
  <si>
    <t>Cold produces per subscriber; hot shares. switchMap cancels previous (search), mergeMap parallel, concatMap sequential, exhaustMap ignores new while busy (submit).</t>
  </si>
  <si>
    <t>How do you avoid subscription leaks?</t>
  </si>
  <si>
    <t>Q252</t>
  </si>
  <si>
    <t>Dependency Injection</t>
  </si>
  <si>
    <t>Explain providedIn: 'root', injector hierarchy and how to inject a non-class value.</t>
  </si>
  <si>
    <t>Root singleton tree-shakable; element/environment injectors; InjectionToken with useValue/useFactory; inject() function.</t>
  </si>
  <si>
    <t>Q253</t>
  </si>
  <si>
    <t>Change detection</t>
  </si>
  <si>
    <t>How does change detection work? OnPush, markForCheck vs detectChanges, Zone.js/signals.</t>
  </si>
  <si>
    <t>Zone triggers CD top-down; OnPush checks on input ref change/events/async pipe; markForCheck marks ancestors dirty, detectChanges runs now; zoneless with signals.</t>
  </si>
  <si>
    <t>Q254</t>
  </si>
  <si>
    <t>Build a reactive form with nested group, FormArray and a cross-field validator.</t>
  </si>
  <si>
    <t>FormBuilder group/array, Validators, custom validator on group (password match), async validators.</t>
  </si>
  <si>
    <t>Q255</t>
  </si>
  <si>
    <t>Http</t>
  </si>
  <si>
    <t>Write a minimal auth interceptor. Why is the request cloned?</t>
  </si>
  <si>
    <t>HttpInterceptorFn adds Authorization header via req.clone({setHeaders}); requests are immutable.</t>
  </si>
  <si>
    <t>Q256</t>
  </si>
  <si>
    <t>Explain guards, resolvers, pathMatch and lazy loading.</t>
  </si>
  <si>
    <t>canActivate/canMatch, resolve data before activation, pathMatch 'full' vs 'prefix', loadComponent/loadChildren.</t>
  </si>
  <si>
    <t>Q257</t>
  </si>
  <si>
    <t>How do you test a component that updates its template asynchronously?</t>
  </si>
  <si>
    <t>TestBed, fixture.detectChanges, fakeAsync/tick or waitForAsync/whenStable, query DebugElement.</t>
  </si>
  <si>
    <t>Q258</t>
  </si>
  <si>
    <t>NgRx</t>
  </si>
  <si>
    <t>Describe NgRx store flow: actions, reducers, selectors, effects.</t>
  </si>
  <si>
    <t>Actions dispatched → reducers produce state → selectors memoize reads; effects handle side effects and dispatch new actions.</t>
  </si>
  <si>
    <t>Q259</t>
  </si>
  <si>
    <t>Component interaction with @Input and @Output.</t>
  </si>
  <si>
    <t>@Input for parent→child data, @Output EventEmitter for child→parent events; signal input()/output() in modern Angular.</t>
  </si>
  <si>
    <t>Q260</t>
  </si>
  <si>
    <t>ViewChild</t>
  </si>
  <si>
    <t>Component interaction with @ViewChild and @ViewChildren.</t>
  </si>
  <si>
    <t>Query child components/elements from template; available in ngAfterViewInit; QueryList for multiple; static option; viewChild() signal.</t>
  </si>
  <si>
    <t>Q261</t>
  </si>
  <si>
    <t>DOM manipulation</t>
  </si>
  <si>
    <t>DOM manipulation with ElementRef, TemplateRef and ViewContainerRef.</t>
  </si>
  <si>
    <t>ElementRef native element (prefer Renderer2); TemplateRef reference to ng-template; ViewContainerRef creates/inserts views and components.</t>
  </si>
  <si>
    <t>Q262</t>
  </si>
  <si>
    <t>Templates</t>
  </si>
  <si>
    <t>Explain ng-template, ng-content, ng-container and *ngTemplateOutlet.</t>
  </si>
  <si>
    <t>Lazy template, content projection, grouping without DOM node, render a template with context.</t>
  </si>
  <si>
    <t>Q263</t>
  </si>
  <si>
    <t>EventEmitter</t>
  </si>
  <si>
    <t>Create a custom event with EventEmitter.</t>
  </si>
  <si>
    <t>@Output() saved = new EventEmitter&lt;Item&gt;(); this.saved.emit(item); (saved)="onSaved($event)".</t>
  </si>
  <si>
    <t>Q264</t>
  </si>
  <si>
    <t>Dynamic components</t>
  </si>
  <si>
    <t>How do you load components dynamically?</t>
  </si>
  <si>
    <t>ViewContainerRef.createComponent(Cmp), NgComponentOutlet, lazy import(); pass inputs via setInput.</t>
  </si>
  <si>
    <t>Q265</t>
  </si>
  <si>
    <t>How does change detection work and how does the strategy influence it?</t>
  </si>
  <si>
    <t>Zone.js triggers top-down check; Default checks all, OnPush only on input reference change/events/async pipe/markForCheck; signals enable fine-grained/zoneless.</t>
  </si>
  <si>
    <t>Q266</t>
  </si>
  <si>
    <t>Component basics</t>
  </si>
  <si>
    <t>What is a component? Lifecycle methods and component metadata?</t>
  </si>
  <si>
    <t>Class + template + styles via @Component (selector, template(Url), styles, changeDetection, standalone, imports); hooks OnInit, OnChanges, AfterViewInit, OnDestroy etc.</t>
  </si>
  <si>
    <t>Q267</t>
  </si>
  <si>
    <t>Data binding</t>
  </si>
  <si>
    <t>Interpolation, template expressions, one-way and two-way binding.</t>
  </si>
  <si>
    <t>{{ }}, [property], (event), [(ngModel)] / banana-in-a-box; expressions should be side-effect free.</t>
  </si>
  <si>
    <t>Q268</t>
  </si>
  <si>
    <t>Bindings</t>
  </si>
  <si>
    <t>Attribute, class and style bindings.</t>
  </si>
  <si>
    <t>[attr.aria-label], [class.active], [ngClass], [style.width.px], [ngStyle].</t>
  </si>
  <si>
    <t>Q269</t>
  </si>
  <si>
    <t>Event binding</t>
  </si>
  <si>
    <t>DOM event binding and the $event object.</t>
  </si>
  <si>
    <t>(click)="fn($event)"; $event is DOM event or emitted value; key filters (keyup.enter).</t>
  </si>
  <si>
    <t>Q270</t>
  </si>
  <si>
    <t>Component styles</t>
  </si>
  <si>
    <t>Explain :host, :host(), :host-context() and ::ng-deep (/deep/, &gt;&gt;&gt;).</t>
  </si>
  <si>
    <t>Style host element, conditionally by host class, by ancestor context; ::ng-deep pierces encapsulation (deprecated, avoid).</t>
  </si>
  <si>
    <t>Q271</t>
  </si>
  <si>
    <t>View encapsulation</t>
  </si>
  <si>
    <t>Explain view encapsulation modes.</t>
  </si>
  <si>
    <t>Emulated (default, attribute selectors), ShadowDom (native), None (global styles).</t>
  </si>
  <si>
    <t>Q272</t>
  </si>
  <si>
    <t>Animations</t>
  </si>
  <si>
    <t>How do animations work in Angular?</t>
  </si>
  <si>
    <t>@angular/animations: trigger, state, style, transition, animate; :enter/:leave; or CSS animations (newer animate.enter).</t>
  </si>
  <si>
    <t>Q273</t>
  </si>
  <si>
    <t>Standalone</t>
  </si>
  <si>
    <t>What are standalone components?</t>
  </si>
  <si>
    <t>Components not declared in NgModule, import dependencies directly; bootstrapApplication; default since v17+.</t>
  </si>
  <si>
    <t>Q274</t>
  </si>
  <si>
    <t>What is a directive? Structural vs attribute directives.</t>
  </si>
  <si>
    <t>Adds behaviour to elements; structural change DOM layout (*ngIf/@if, *ngFor), attribute change appearance/behaviour (ngClass, custom highlight).</t>
  </si>
  <si>
    <t>Q275</t>
  </si>
  <si>
    <t>Structural syntax</t>
  </si>
  <si>
    <t>What does the * mean in *ngIf?</t>
  </si>
  <si>
    <t>Syntactic sugar wrapping the element in &lt;ng-template [ngIf]&gt;; microsyntax.</t>
  </si>
  <si>
    <t>Q276</t>
  </si>
  <si>
    <t>Custom directive</t>
  </si>
  <si>
    <t>Write a custom attribute directive.</t>
  </si>
  <si>
    <t>@Directive({selector:'[appHighlight]'}) with @HostBinding/@HostListener or host metadata, @Input for config.</t>
  </si>
  <si>
    <t>Q277</t>
  </si>
  <si>
    <t>What is a pipe? Pure vs impure pipes.</t>
  </si>
  <si>
    <t>Template value transformers; pure run on input reference change, impure every CD cycle.</t>
  </si>
  <si>
    <t>Q278</t>
  </si>
  <si>
    <t>Async pipe</t>
  </si>
  <si>
    <t>What does the async pipe do?</t>
  </si>
  <si>
    <t>Subscribes to Observable/Promise, returns latest value, marks for check, unsubscribes on destroy.</t>
  </si>
  <si>
    <t>Q279</t>
  </si>
  <si>
    <t>Custom pipe</t>
  </si>
  <si>
    <t>Write a custom pipe.</t>
  </si>
  <si>
    <t>@Pipe({name:'truncate'}) class implements PipeTransform { transform(v, len) {...} }.</t>
  </si>
  <si>
    <t>Q280</t>
  </si>
  <si>
    <t>DI providers</t>
  </si>
  <si>
    <t>Where can you provide services in Angular?</t>
  </si>
  <si>
    <t>providedIn root/platform/any, environment injectors (routes, app config), NgModule providers, component/directive providers (element injector), viewProviders.</t>
  </si>
  <si>
    <t>Q281</t>
  </si>
  <si>
    <t>Dependency injection</t>
  </si>
  <si>
    <t>Explain dependency injection in Angular.</t>
  </si>
  <si>
    <t>Injector hierarchy resolves tokens to instances; constructor injection or inject(); providers useClass/useValue/useFactory/useExisting.</t>
  </si>
  <si>
    <t>Q282</t>
  </si>
  <si>
    <t>@Injectable</t>
  </si>
  <si>
    <t>What does @Injectable do and what is providedIn?</t>
  </si>
  <si>
    <t>Marks class for DI metadata; providedIn:'root' registers app-wide singleton, tree-shakable.</t>
  </si>
  <si>
    <t>Q283</t>
  </si>
  <si>
    <t>Resolution modifiers</t>
  </si>
  <si>
    <t>What do @Self, @Optional, @Host (and @SkipSelf) do?</t>
  </si>
  <si>
    <t>Limit/modify injector lookup: only own injector, null if missing, stop at host component, start from parent.</t>
  </si>
  <si>
    <t>Q284</t>
  </si>
  <si>
    <t>How many modules can an Angular app have? What are NgModules and how are they used?</t>
  </si>
  <si>
    <t>Any number: root, feature, shared, routing; declarations, imports, exports, providers.</t>
  </si>
  <si>
    <t>Q285</t>
  </si>
  <si>
    <t>Built-in modules</t>
  </si>
  <si>
    <t>What do BrowserModule, CommonModule, FormsModule, RouterModule and HttpClientModule provide?</t>
  </si>
  <si>
    <t>Browser bootstrap; common directives/pipes; template-driven forms; routing; HttpClient (now provideHttpClient).</t>
  </si>
  <si>
    <t>Q286</t>
  </si>
  <si>
    <t>Guards count</t>
  </si>
  <si>
    <t>How many guards can you apply to a route?</t>
  </si>
  <si>
    <t>Multiple of each type as an array; all must pass; executed in order/parallel per type.</t>
  </si>
  <si>
    <t>Q287</t>
  </si>
  <si>
    <t>Router vs ActivatedRoute</t>
  </si>
  <si>
    <t>Router vs ActivatedRoute — usage examples.</t>
  </si>
  <si>
    <t>Router: navigate/navigateByUrl, events; ActivatedRoute: params, queryParams, data, snapshot vs observables; withComponentInputBinding.</t>
  </si>
  <si>
    <t>Q288</t>
  </si>
  <si>
    <t>Named outlets</t>
  </si>
  <si>
    <t>When would you need 2+ router-outlets in one template? Will it work?</t>
  </si>
  <si>
    <t>Yes with named (auxiliary) outlets: &lt;router-outlet name="sidebar"&gt;, outlet in route config, URLs like /(sidebar:chat).</t>
  </si>
  <si>
    <t>Q289</t>
  </si>
  <si>
    <t>Lazy loading</t>
  </si>
  <si>
    <t>Explain lazy loading in Angular.</t>
  </si>
  <si>
    <t>loadChildren/loadComponent with dynamic import; separate chunks; preloading strategies; @defer blocks for template-level.</t>
  </si>
  <si>
    <t>Q290</t>
  </si>
  <si>
    <t>Guards</t>
  </si>
  <si>
    <t>Which guard types do you know and how do they differ?</t>
  </si>
  <si>
    <t>canActivate, canActivateChild, canDeactivate, canMatch (canLoad deprecated), resolve; functional guards.</t>
  </si>
  <si>
    <t>Q291</t>
  </si>
  <si>
    <t>Router events</t>
  </si>
  <si>
    <t>What are router events and how do you use them?</t>
  </si>
  <si>
    <t>NavigationStart, NavigationEnd, NavigationError, etc.; filter router.events for loaders/analytics.</t>
  </si>
  <si>
    <t>Q292</t>
  </si>
  <si>
    <t>Template-driven vs reactive forms?</t>
  </si>
  <si>
    <t>Template-driven: ngModel, simple, async; reactive: model in TS, explicit, testable, sync, dynamic forms; typed forms.</t>
  </si>
  <si>
    <t>Q293</t>
  </si>
  <si>
    <t>FormBuilder</t>
  </si>
  <si>
    <t>Benefits of using FormBuilder?</t>
  </si>
  <si>
    <t>Less boilerplate for groups/arrays/controls; nonNullable builder; readability.</t>
  </si>
  <si>
    <t>Q294</t>
  </si>
  <si>
    <t>Built-in and custom validation in forms.</t>
  </si>
  <si>
    <t>Validators.required/min/pattern; custom ValidatorFn returning errors or null; async validators; group validators.</t>
  </si>
  <si>
    <t>Q295</t>
  </si>
  <si>
    <t>HttpClient</t>
  </si>
  <si>
    <t>HttpClient and HttpInterceptor — how do they work?</t>
  </si>
  <si>
    <t>Observable-based HTTP with typed responses; interceptors chain to modify requests/responses (auth, errors, loading).</t>
  </si>
  <si>
    <t>Q296</t>
  </si>
  <si>
    <t>HttpClient vs fetch</t>
  </si>
  <si>
    <t>Why use HttpClient instead of fetch?</t>
  </si>
  <si>
    <t>Observables (cancellation, retry, operators), interceptors, typed JSON parsing, testing utils (HttpTestingController), progress events, DI.</t>
  </si>
  <si>
    <t>Q297</t>
  </si>
  <si>
    <t>Reactive programming: Observables and the RxJS library.</t>
  </si>
  <si>
    <t>Streams of values over time; Observable, Observer, subscription, operators via pipe; lazy.</t>
  </si>
  <si>
    <t>Q298</t>
  </si>
  <si>
    <t>Higher-order mapping</t>
  </si>
  <si>
    <t>Explain higher-order observable mapping: concatMap, mergeMap, switchMap, exhaustMap.</t>
  </si>
  <si>
    <t>Flatten inner observables: sequential, concurrent, cancel previous, ignore while active.</t>
  </si>
  <si>
    <t>Q299</t>
  </si>
  <si>
    <t>Subjects</t>
  </si>
  <si>
    <t>What is a Subject? Types of Subjects?</t>
  </si>
  <si>
    <t>Observable + Observer, multicast; Subject, BehaviorSubject (current value), ReplaySubject (buffer), AsyncSubject (last on complete).</t>
  </si>
  <si>
    <t>Q300</t>
  </si>
  <si>
    <t>JIT vs AOT</t>
  </si>
  <si>
    <t>JIT vs AOT compilation — how it works, pros and cons.</t>
  </si>
  <si>
    <t>JIT compiles templates in browser at runtime (bigger, slower); AOT at build time (faster render, smaller bundle, early template errors); AOT default.</t>
  </si>
  <si>
    <t>Q301</t>
  </si>
  <si>
    <t>Ways to improve Angular app performance.</t>
  </si>
  <si>
    <t>OnPush/signals, trackBy/@for track, lazy loading/@defer, pure pipes, avoid function calls in templates, unsubscribe, virtual scroll, SSR/hydration, bundle analysis.</t>
  </si>
  <si>
    <t>Q302</t>
  </si>
  <si>
    <t>Explain the Redux pattern and NgRx.</t>
  </si>
  <si>
    <t>Single store, actions, pure reducers, selectors, effects for side effects; predictable state, devtools; when overkill (consider signals store).</t>
  </si>
  <si>
    <t>Q303</t>
  </si>
  <si>
    <t>Goals &amp; benefits</t>
  </si>
  <si>
    <t>What do preprocessors like Sass/LESS give you, and what are the downsides?</t>
  </si>
  <si>
    <t>Variables, nesting, mixins, functions, partials/imports; build step, over-nesting → high specificity, native CSS now covers some (custom props, nesting).</t>
  </si>
  <si>
    <t>Q304</t>
  </si>
  <si>
    <t>Features</t>
  </si>
  <si>
    <t>Difference between a mixin and @extend in Sass?</t>
  </si>
  <si>
    <t>Mixin copies declarations (can take args); @extend shares selectors, can bloat selectors/unexpected output.</t>
  </si>
  <si>
    <t>Q305</t>
  </si>
  <si>
    <t>Comparison</t>
  </si>
  <si>
    <t>Stylus vs LESS vs Sass?</t>
  </si>
  <si>
    <t>Syntax differences (Stylus optional punctuation, Sass SCSS/indented), Sass most popular and maintained (Dart Sass), LESS JS-based.</t>
  </si>
  <si>
    <t>Q306</t>
  </si>
  <si>
    <t>Benefits</t>
  </si>
  <si>
    <t>Benefits of using a preprocessor?</t>
  </si>
  <si>
    <t>Variables, nesting, mixins, functions, loops, partials, maths, maintainability.</t>
  </si>
  <si>
    <t>Q307</t>
  </si>
  <si>
    <t>Cons</t>
  </si>
  <si>
    <t>Cons of using a preprocessor?</t>
  </si>
  <si>
    <t>Build step, debugging compiled output (needs source maps), over-nesting, bloat from mixins/@extend, overlap with native CSS features.</t>
  </si>
  <si>
    <t>Q308</t>
  </si>
  <si>
    <t>Sass/LESS features</t>
  </si>
  <si>
    <t>Choose Sass or LESS and list main features.</t>
  </si>
  <si>
    <t>Sass: $vars, nesting, @mixin/@include, @extend, @use/@forward modules, maps, @each/@for, functions.</t>
  </si>
  <si>
    <t>Q309</t>
  </si>
  <si>
    <t>When not to use</t>
  </si>
  <si>
    <t>Red flags — when should you use plain CSS instead of a preprocessor?</t>
  </si>
  <si>
    <t>Small projects, native custom properties/nesting cover needs, runtime theming required, CSS-in-JS/utility setup already in place.</t>
  </si>
  <si>
    <t>Q310</t>
  </si>
  <si>
    <t>BEM</t>
  </si>
  <si>
    <t>Write BEM class names for a card with a title, a button and a 'featured' variant.</t>
  </si>
  <si>
    <t>card, card__title, card__button, card--featured; flat specificity, no nesting dependence.</t>
  </si>
  <si>
    <t>Q311</t>
  </si>
  <si>
    <t>Methodologies overview</t>
  </si>
  <si>
    <t>What problems do CSS methodologies (BEM, OOCSS, SMACSS, ITCSS, Atomic) solve?</t>
  </si>
  <si>
    <t>Global namespace collisions, specificity wars, maintainability and scalability; each structures naming or layering differently.</t>
  </si>
  <si>
    <t>Q312</t>
  </si>
  <si>
    <t>Main rules of BEM methodology.</t>
  </si>
  <si>
    <t>block__element--modifier naming, flat class selectors, no tag/id selectors, blocks independent and reusable.</t>
  </si>
  <si>
    <t>Q313</t>
  </si>
  <si>
    <t>Block vs Element vs Modifier — explain with an example.</t>
  </si>
  <si>
    <t>Block: standalone component (menu); element: part bound to block (menu__item); modifier: variant/state (menu__item--active).</t>
  </si>
  <si>
    <t>Q314</t>
  </si>
  <si>
    <t>Why methodologies</t>
  </si>
  <si>
    <t>Why do we need CSS methodologies?</t>
  </si>
  <si>
    <t>Avoid global collisions, specificity wars, make CSS predictable, scalable and team-friendly.</t>
  </si>
  <si>
    <t>Q315</t>
  </si>
  <si>
    <t>OOCSS / Atomic / BEM</t>
  </si>
  <si>
    <t>Compare OOCSS, Atomic CSS and BEM.</t>
  </si>
  <si>
    <t>OOCSS: separate structure/skin and container/content; Atomic: single-purpose utility classes (Tailwind); BEM: component-based naming.</t>
  </si>
  <si>
    <t>Q316</t>
  </si>
  <si>
    <t>Benefits &amp; goals</t>
  </si>
  <si>
    <t>Pros and cons of CSS frameworks like Bootstrap or Tailwind?</t>
  </si>
  <si>
    <t>Speed, consistency, responsive grid, tested components; cons: bundle size, generic look, override fights, learning curve; utility-first vs component frameworks.</t>
  </si>
  <si>
    <t>Q317</t>
  </si>
  <si>
    <t>Algorithms &amp; DS</t>
  </si>
  <si>
    <t>What is Big O notation? Give complexity of array access, search, and sorting.</t>
  </si>
  <si>
    <t>Growth rate of time/space; access O(1), linear search O(n), binary search O(log n), good sorts O(n log n).</t>
  </si>
  <si>
    <t>Q318</t>
  </si>
  <si>
    <t>Check if a string is a palindrome / find duplicates in an array. State the complexity.</t>
  </si>
  <si>
    <t>Two pointers O(n); Set-based duplicate detection O(n) time, O(n) space.</t>
  </si>
  <si>
    <t>Q319</t>
  </si>
  <si>
    <t>Data structures</t>
  </si>
  <si>
    <t>Stack vs queue vs hash table — give a front-end use case for each.</t>
  </si>
  <si>
    <t>Stack: undo/call stack; queue: task/event queue; hash table: caching/lookup by id.</t>
  </si>
  <si>
    <t>Q320</t>
  </si>
  <si>
    <t>Networks</t>
  </si>
  <si>
    <t>What happens when you type a URL in the browser and press Enter?</t>
  </si>
  <si>
    <t>DNS lookup, TCP + TLS handshake, HTTP request, server response, parsing HTML, CSS/JS fetch, render tree, layout, paint.</t>
  </si>
  <si>
    <t>Q321</t>
  </si>
  <si>
    <t>Cryptography</t>
  </si>
  <si>
    <t>Hashing vs encryption; symmetric vs asymmetric?</t>
  </si>
  <si>
    <t>Hashing one-way (passwords with salt, bcrypt); encryption reversible; symmetric one key (AES), asymmetric key pair (RSA, TLS handshake).</t>
  </si>
  <si>
    <t>Q322</t>
  </si>
  <si>
    <t>Databases</t>
  </si>
  <si>
    <t>SQL vs NoSQL; write a query to get users older than 18 sorted by name.</t>
  </si>
  <si>
    <t>Relational schema/ACID vs flexible document/key-value; SELECT * FROM users WHERE age &gt; 18 ORDER BY name;</t>
  </si>
  <si>
    <t>Q323</t>
  </si>
  <si>
    <t>Containerization</t>
  </si>
  <si>
    <t>Difference between virtual machines and containers? What is Docker?</t>
  </si>
  <si>
    <t>VM virtualizes hardware with own OS; containers share host kernel, lightweight; Docker builds/runs images.</t>
  </si>
  <si>
    <t>Q324</t>
  </si>
  <si>
    <t>Deployment strategies</t>
  </si>
  <si>
    <t>Explain blue-green and canary deployments.</t>
  </si>
  <si>
    <t>Blue-green: two identical environments, switch traffic; canary: release to small % first and expand.</t>
  </si>
  <si>
    <t>Q325</t>
  </si>
  <si>
    <t>Licenses</t>
  </si>
  <si>
    <t>Why do software licenses matter (MIT vs GPL) for commercial projects?</t>
  </si>
  <si>
    <t>Permissive (MIT, Apache) vs copyleft (GPL) requiring derivative works be open; check dependencies' licenses.</t>
  </si>
  <si>
    <t>Q326</t>
  </si>
  <si>
    <t>Troubleshooting</t>
  </si>
  <si>
    <t>Walk me through how you debug a bug reported as 'the page is blank'.</t>
  </si>
  <si>
    <t>Reproduce, console errors, network tab, recent changes, isolate, breakpoints, fix + test; structured approach.</t>
  </si>
  <si>
    <t>Q327</t>
  </si>
  <si>
    <t>Event phases</t>
  </si>
  <si>
    <t>Explain capturing vs bubbling and how to listen in the capture phase.</t>
  </si>
  <si>
    <t>addEventListener(type, fn, {capture:true}) or true as 3rd arg; capture goes window→target, bubbling target→window.</t>
  </si>
  <si>
    <t>Q328</t>
  </si>
  <si>
    <t>Create, dispatch and listen to a custom event with data.</t>
  </si>
  <si>
    <t>new CustomEvent('cart:add', {detail: item, bubbles: true}); el.dispatchEvent(); el.addEventListener('cart:add', e =&gt; e.detail).</t>
  </si>
  <si>
    <t>Q329</t>
  </si>
  <si>
    <t>Event listeners</t>
  </si>
  <si>
    <t>How do you remove a listener and why might removal fail? What do once and passive options do?</t>
  </si>
  <si>
    <t>removeEventListener with same function reference; anonymous functions can't be removed; once auto-removes; passive improves scroll perf.</t>
  </si>
  <si>
    <t>Q330</t>
  </si>
  <si>
    <t>Design principles</t>
  </si>
  <si>
    <t>Explain KISS, DRY and YAGNI with examples.</t>
  </si>
  <si>
    <t>Keep it simple; avoid duplicating knowledge; don't build features until needed; trade-offs (premature abstraction).</t>
  </si>
  <si>
    <t>Q331</t>
  </si>
  <si>
    <t>Architectural patterns</t>
  </si>
  <si>
    <t>Describe MVC, layered and client-server architecture.</t>
  </si>
  <si>
    <t>MVC separates model/view/controller; layered: presentation/business/data; client-server: requests to central server.</t>
  </si>
  <si>
    <t>Q332</t>
  </si>
  <si>
    <t>Implement a Singleton and a simple Factory in JS. Where is Decorator used in front-end?</t>
  </si>
  <si>
    <t>Module-level instance or class with static getInstance; factory function returns objects by type; decorators: HOCs, Angular/TS decorators.</t>
  </si>
  <si>
    <t>Q333</t>
  </si>
  <si>
    <t>Programming paradigms</t>
  </si>
  <si>
    <t>Compare OOP, functional and reactive programming.</t>
  </si>
  <si>
    <t>OOP: objects encapsulating state/behaviour; FP: pure functions, immutability; RP: streams of data/events (RxJS).</t>
  </si>
  <si>
    <t>Q334</t>
  </si>
  <si>
    <t>Cross-cutting concerns</t>
  </si>
  <si>
    <t>What are cross-cutting concerns? How do you handle errors and logging in a front-end app?</t>
  </si>
  <si>
    <t>Logging, error handling, security spanning modules; global error handlers/boundaries, centralized logger, monitoring (Sentry), interceptors.</t>
  </si>
  <si>
    <t>Q335</t>
  </si>
  <si>
    <t>Technical documentation</t>
  </si>
  <si>
    <t>How do you approach reading unfamiliar technical documentation or an API spec?</t>
  </si>
  <si>
    <t>Start with overview/quick start, examples, try in sandbox, note constraints/edge cases, ask questions.</t>
  </si>
  <si>
    <t>Q336</t>
  </si>
  <si>
    <t>Page load</t>
  </si>
  <si>
    <t>What are Core Web Vitals and what does each measure?</t>
  </si>
  <si>
    <t>LCP (loading), INP (interactivity, replaced FID), CLS (visual stability); good thresholds ~2.5s, 200ms, 0.1.</t>
  </si>
  <si>
    <t>Q337</t>
  </si>
  <si>
    <t>Optimization techniques</t>
  </si>
  <si>
    <t>List techniques to make a page load faster.</t>
  </si>
  <si>
    <t>Minify/compress (gzip/brotli), code splitting, lazy loading images, modern image formats, caching/CDN, preload critical resources, reduce JS.</t>
  </si>
  <si>
    <t>Q338</t>
  </si>
  <si>
    <t>Repaint/Reflow</t>
  </si>
  <si>
    <t>What is the difference between reflow and repaint? What causes layout thrashing?</t>
  </si>
  <si>
    <t>Reflow recalculates geometry, repaint redraws pixels; interleaving DOM reads (offsetHeight) and writes forces sync layout.</t>
  </si>
  <si>
    <t>Q339</t>
  </si>
  <si>
    <t>Network performance</t>
  </si>
  <si>
    <t>How do you analyse a slow page in DevTools?</t>
  </si>
  <si>
    <t>Lighthouse report, Network waterfall with throttling, Performance panel (long tasks, main thread), Coverage for unused code.</t>
  </si>
  <si>
    <t>Q340</t>
  </si>
  <si>
    <t>Framework optimization</t>
  </si>
  <si>
    <t>Which framework-level optimizations do you know for your stack?</t>
  </si>
  <si>
    <t>Lazy routes, memoization/OnPush, virtualization of long lists, tree-shaking, avoiding unnecessary re-renders, SSR/hydration strategies.</t>
  </si>
  <si>
    <t>Q341</t>
  </si>
  <si>
    <t>HTTP</t>
  </si>
  <si>
    <t>Name HTTP methods and status code classes with examples.</t>
  </si>
  <si>
    <t>GET, POST, PUT, PATCH, DELETE, OPTIONS; 1xx info, 2xx success (200, 201, 204), 3xx redirect (301, 304), 4xx client (400, 401, 403, 404), 5xx server (500, 503).</t>
  </si>
  <si>
    <t>Q342</t>
  </si>
  <si>
    <t>HTTPS</t>
  </si>
  <si>
    <t>How does HTTPS differ from HTTP?</t>
  </si>
  <si>
    <t>TLS encryption, server authentication via certificates, integrity; handshake negotiates keys.</t>
  </si>
  <si>
    <t>Q343</t>
  </si>
  <si>
    <t>OSI model</t>
  </si>
  <si>
    <t>Which OSI layers do HTTP, TCP and IP belong to?</t>
  </si>
  <si>
    <t>HTTP application (7), TCP transport (4), IP network (3).</t>
  </si>
  <si>
    <t>Q344</t>
  </si>
  <si>
    <t>WebSockets</t>
  </si>
  <si>
    <t>When would you use WebSockets over HTTP requests?</t>
  </si>
  <si>
    <t>Real-time bi-directional communication (chat, live updates); upgrade handshake from HTTP; persistent connection.</t>
  </si>
  <si>
    <t>Q345</t>
  </si>
  <si>
    <t>REST</t>
  </si>
  <si>
    <t>What makes an API RESTful? Idempotency of methods?</t>
  </si>
  <si>
    <t>Resources via URLs, stateless, standard methods and status codes, representations (JSON); GET/PUT/DELETE idempotent, POST not.</t>
  </si>
  <si>
    <t>Q346</t>
  </si>
  <si>
    <t>What is the OSI model and why is it important in networking?</t>
  </si>
  <si>
    <t>7 layers (physical → application); common vocabulary for troubleshooting and protocol design.</t>
  </si>
  <si>
    <t>Q347</t>
  </si>
  <si>
    <t>What role does HTTP play in the web?</t>
  </si>
  <si>
    <t>Application-layer request/response protocol for transferring resources between client and server; stateless.</t>
  </si>
  <si>
    <t>Q348</t>
  </si>
  <si>
    <t>How does HTTPS enhance HTTP?</t>
  </si>
  <si>
    <t>Adds TLS: encryption, integrity, server authentication via certificates.</t>
  </si>
  <si>
    <t>Q349</t>
  </si>
  <si>
    <t>What is REST and its principles?</t>
  </si>
  <si>
    <t>Client-server, stateless, cacheable, uniform interface, layered system, (code on demand).</t>
  </si>
  <si>
    <t>Q350</t>
  </si>
  <si>
    <t>RESTful API</t>
  </si>
  <si>
    <t>What is a RESTful API?</t>
  </si>
  <si>
    <t>API following REST: resource URLs, HTTP methods, status codes, JSON representations.</t>
  </si>
  <si>
    <t>Q351</t>
  </si>
  <si>
    <t>TLS</t>
  </si>
  <si>
    <t>Why use TLS/SSL together with HTTP?</t>
  </si>
  <si>
    <t>Protects data in transit from eavesdropping/tampering, authenticates server; required for HTTP/2 in browsers, secure cookies, many APIs.</t>
  </si>
  <si>
    <t>Q352</t>
  </si>
  <si>
    <t>TCP vs UDP</t>
  </si>
  <si>
    <t>Primary difference between TCP and UDP?</t>
  </si>
  <si>
    <t>TCP connection-oriented, reliable, ordered, congestion control; UDP connectionless, no guarantees, low latency.</t>
  </si>
  <si>
    <t>Q353</t>
  </si>
  <si>
    <t>TCP handshake</t>
  </si>
  <si>
    <t>What is the significance of the TCP three-way handshake?</t>
  </si>
  <si>
    <t>SYN, SYN-ACK, ACK: establishes connection and sequence numbers before data; adds latency (RTT).</t>
  </si>
  <si>
    <t>Q354</t>
  </si>
  <si>
    <t>Benefits and drawbacks of WebSockets?</t>
  </si>
  <si>
    <t>Full-duplex, low overhead real-time; drawbacks: stateful connections, scaling/load balancing, reconnection logic, proxies.</t>
  </si>
  <si>
    <t>Q355</t>
  </si>
  <si>
    <t>UDP use cases</t>
  </si>
  <si>
    <t>When is UDP better than TCP?</t>
  </si>
  <si>
    <t>Real-time media, gaming, VoIP, DNS, video streaming where latency matters more than reliability; QUIC/HTTP3 built on UDP.</t>
  </si>
  <si>
    <t>Q356</t>
  </si>
  <si>
    <t>Code quality</t>
  </si>
  <si>
    <t>What do you look for in a code review, as author and reviewer?</t>
  </si>
  <si>
    <t>Correctness, readability, tests, naming, edge cases, security; small PRs, constructive comments.</t>
  </si>
  <si>
    <t>Q357</t>
  </si>
  <si>
    <t>Static analysis</t>
  </si>
  <si>
    <t>What is static vs dynamic code analysis? Give tools.</t>
  </si>
  <si>
    <t>Static analyses code without running (ESLint, SonarQube, TS); dynamic at runtime (tests, profilers, DAST).</t>
  </si>
  <si>
    <t>Q358</t>
  </si>
  <si>
    <t>CI/CD</t>
  </si>
  <si>
    <t>What are the principles and objectives of CI/CD?</t>
  </si>
  <si>
    <t>Frequent integration, automated build/test on every change, fast feedback, deployable main, automated delivery/deployment.</t>
  </si>
  <si>
    <t>Q359</t>
  </si>
  <si>
    <t>VCS</t>
  </si>
  <si>
    <t>Merge vs rebase; how do you resolve a merge conflict?</t>
  </si>
  <si>
    <t>Merge preserves history with merge commit, rebase rewrites for linear history (don't rebase shared branches); edit conflict markers, test, commit.</t>
  </si>
  <si>
    <t>Q360</t>
  </si>
  <si>
    <t>Branching strategy</t>
  </si>
  <si>
    <t>Describe a branching strategy you know (GitFlow, trunk-based, GitHub flow).</t>
  </si>
  <si>
    <t>GitFlow: develop/feature/release/hotfix; trunk-based: short-lived branches, feature flags; GitHub flow: main + PR branches.</t>
  </si>
  <si>
    <t>Q361</t>
  </si>
  <si>
    <t>Testing pyramid</t>
  </si>
  <si>
    <t>Explain the testing pyramid and pros/cons of each level.</t>
  </si>
  <si>
    <t>Many fast unit tests, fewer integration, few slow e2e; cost vs confidence trade-off.</t>
  </si>
  <si>
    <t>Q362</t>
  </si>
  <si>
    <t>Non-functional requirements</t>
  </si>
  <si>
    <t>How are performance requirements measured?</t>
  </si>
  <si>
    <t>Response time, throughput, Web Vitals, percentiles (p95), load testing tools; budgets in CI.</t>
  </si>
  <si>
    <t>Q363</t>
  </si>
  <si>
    <t>Setup &amp; basics</t>
  </si>
  <si>
    <t>Which AI code assistant have you set up, and how do you accept, reject or partially accept suggestions?</t>
  </si>
  <si>
    <t>Install extension (Copilot, etc.), authenticate, Tab/Esc, word-by-word accept, cycling suggestions, inline chat.</t>
  </si>
  <si>
    <t>Q364</t>
  </si>
  <si>
    <t>Usage</t>
  </si>
  <si>
    <t>Show how you'd use an AI assistant to explain unfamiliar code and to fix a bug.</t>
  </si>
  <si>
    <t>Select code + explain prompt; provide error/stack trace and context; verify suggested fix by running tests.</t>
  </si>
  <si>
    <t>Q365</t>
  </si>
  <si>
    <t>Task decomposition</t>
  </si>
  <si>
    <t>How can an AI tool help decompose a task, and how do you validate its plan?</t>
  </si>
  <si>
    <t>Ask for steps/sub-tasks, edge cases; review against requirements, adjust, keep human ownership.</t>
  </si>
  <si>
    <t>Q366</t>
  </si>
  <si>
    <t>Commit messages</t>
  </si>
  <si>
    <t>Generate a commit message with AI — what makes it good?</t>
  </si>
  <si>
    <t>Conventional format, describes why/what, matches diff; review before committing.</t>
  </si>
  <si>
    <t>Q367</t>
  </si>
  <si>
    <t>Risks</t>
  </si>
  <si>
    <t>What are the risks of AI-generated code?</t>
  </si>
  <si>
    <t>Hallucinated APIs, subtle bugs, security issues, licensing, leaking confidential code; always review and test.</t>
  </si>
  <si>
    <t>Q368</t>
  </si>
  <si>
    <t>LLM basics</t>
  </si>
  <si>
    <t>What is an LLM and what are its limitations?</t>
  </si>
  <si>
    <t>Predicts tokens from training data; context window, hallucinations, knowledge cutoff, non-determinism.</t>
  </si>
  <si>
    <t>Q369</t>
  </si>
  <si>
    <t>Prompting</t>
  </si>
  <si>
    <t>What makes a good prompt for generating code?</t>
  </si>
  <si>
    <t>Clear goal, context (stack, versions, constraints), examples, expected format, step-by-step, iterate.</t>
  </si>
  <si>
    <t>Improve this prompt: 'write a function for dates'.</t>
  </si>
  <si>
    <t>Q370</t>
  </si>
  <si>
    <t>Automation</t>
  </si>
  <si>
    <t>Which repetitive dev tasks can LLMs automate?</t>
  </si>
  <si>
    <t>Formatting, explanations, docs, basic unit tests, boilerplate, regex, data transformations.</t>
  </si>
  <si>
    <t>Q371</t>
  </si>
  <si>
    <t>Review</t>
  </si>
  <si>
    <t>How do you review and refine LLM-generated code before using it?</t>
  </si>
  <si>
    <t>Read and understand it, run tests, check edge cases/security, align with project conventions, ask follow-up prompts.</t>
  </si>
  <si>
    <t>Q372</t>
  </si>
  <si>
    <t>Debugging</t>
  </si>
  <si>
    <t>How would you use an LLM to investigate an error from logs?</t>
  </si>
  <si>
    <t>Provide error, stack trace, relevant code and expected behaviour; ask for hypotheses and verification steps; avoid sharing secrets.</t>
  </si>
  <si>
    <t>Q373</t>
  </si>
  <si>
    <t>SDLC</t>
  </si>
  <si>
    <t>Name SDLC stages and roles in a typical team.</t>
  </si>
  <si>
    <t>Requirements, design, implementation, testing, deployment, maintenance; PO, BA, Dev, QA, DevOps, SM/PM.</t>
  </si>
  <si>
    <t>Q374</t>
  </si>
  <si>
    <t>Methodologies</t>
  </si>
  <si>
    <t>Agile vs Waterfall; describe Scrum ceremonies.</t>
  </si>
  <si>
    <t>Iterative vs sequential; planning, daily, review, retrospective; backlog, sprints.</t>
  </si>
  <si>
    <t>Q375</t>
  </si>
  <si>
    <t>Secure SDLC</t>
  </si>
  <si>
    <t>What is the purpose of Secure SDLC?</t>
  </si>
  <si>
    <t>Integrate security in every stage: threat modeling, secure coding, SAST/DAST, dependency scanning, reviews.</t>
  </si>
  <si>
    <t>Q376</t>
  </si>
  <si>
    <t>Requirements</t>
  </si>
  <si>
    <t>What are acceptance criteria? Functional vs non-functional requirements?</t>
  </si>
  <si>
    <t>Conditions to accept a story (Given/When/Then); functional = what system does, NFR = quality attributes (performance, security).</t>
  </si>
  <si>
    <t>Q377</t>
  </si>
  <si>
    <t>Estimation</t>
  </si>
  <si>
    <t>How do you estimate a task you've never done before?</t>
  </si>
  <si>
    <t>Decompose into small pieces, compare with past work, story points/hours, add uncertainty buffer, raise risks early.</t>
  </si>
  <si>
    <t>Q378</t>
  </si>
  <si>
    <t>Issue tracking</t>
  </si>
  <si>
    <t>How do you work with tickets in Jira through their lifecycle?</t>
  </si>
  <si>
    <t>Statuses/workflow, linking PRs, updating progress, comments, definition of done.</t>
  </si>
  <si>
    <t>Q379</t>
  </si>
  <si>
    <t>What is Node.js and how does it differ from JS in the browser?</t>
  </si>
  <si>
    <t>V8-based runtime outside browser; no DOM/window, has fs, process, modules; event-driven non-blocking I/O via libuv.</t>
  </si>
  <si>
    <t>Q380</t>
  </si>
  <si>
    <t>Why is Node.js good for I/O-heavy apps and bad for CPU-heavy work?</t>
  </si>
  <si>
    <t>Single-threaded event loop handles many concurrent I/O ops; CPU work blocks the loop (use worker threads).</t>
  </si>
  <si>
    <t>Q381</t>
  </si>
  <si>
    <t>npm / modules</t>
  </si>
  <si>
    <t>Write a simple CLI script or HTTP server in Node.</t>
  </si>
  <si>
    <t>http.createServer or process.argv/fs usage; CommonJS vs ESM ('type':'module').</t>
  </si>
  <si>
    <t>Q382</t>
  </si>
  <si>
    <t>REST server</t>
  </si>
  <si>
    <t>What is a REST server?</t>
  </si>
  <si>
    <t>Server exposing resources via HTTP methods/URLs, stateless, JSON representations.</t>
  </si>
  <si>
    <t>Q383</t>
  </si>
  <si>
    <t>Architecture</t>
  </si>
  <si>
    <t>Explain three-layer architecture.</t>
  </si>
  <si>
    <t>Controller (HTTP), service (business logic), data access/repository; separation of concerns, testability.</t>
  </si>
  <si>
    <t>Q384</t>
  </si>
  <si>
    <t>Tokens</t>
  </si>
  <si>
    <t>What is a token and how is it used?</t>
  </si>
  <si>
    <t>Credential string (JWT, opaque) issued after auth, sent in Authorization header; access vs refresh tokens, expiry.</t>
  </si>
  <si>
    <t>Q385</t>
  </si>
  <si>
    <t>Event loop / libuv</t>
  </si>
  <si>
    <t>Describe all Node.js event loop phases. What is libuv?</t>
  </si>
  <si>
    <t>timers, pending callbacks, idle/prepare, poll, check (setImmediate), close callbacks; process.nextTick/microtasks between; libuv: C library for async I/O and thread pool.</t>
  </si>
  <si>
    <t>Q386</t>
  </si>
  <si>
    <t>HTTP status codes</t>
  </si>
  <si>
    <t>Name the HTTP status code groups.</t>
  </si>
  <si>
    <t>1xx info, 2xx success, 3xx redirect, 4xx client error, 5xx server error.</t>
  </si>
  <si>
    <t>Q387</t>
  </si>
  <si>
    <t>HTTP messages</t>
  </si>
  <si>
    <t>What are HTTP requests and responses made of?</t>
  </si>
  <si>
    <t>Request: method, URL, version, headers, body; response: status line, headers, body.</t>
  </si>
  <si>
    <t>Q388</t>
  </si>
  <si>
    <t>HTTP methods</t>
  </si>
  <si>
    <t>Explain HTTP methods (GET, POST, ...).</t>
  </si>
  <si>
    <t>GET read, POST create, PUT replace, PATCH partial update, DELETE remove, OPTIONS, HEAD; safe/idempotent properties.</t>
  </si>
  <si>
    <t>Q389</t>
  </si>
  <si>
    <t>CORS</t>
  </si>
  <si>
    <t>What is CORS (server side)?</t>
  </si>
  <si>
    <t>Server sends Access-Control-Allow-Origin/Methods/Headers, handles preflight OPTIONS; cors middleware in Express.</t>
  </si>
  <si>
    <t>Q390</t>
  </si>
  <si>
    <t>Node basics</t>
  </si>
  <si>
    <t>What is Node.js?</t>
  </si>
  <si>
    <t>JS runtime on V8 with libuv, event-driven non-blocking I/O, npm ecosystem.</t>
  </si>
  <si>
    <t>Q391</t>
  </si>
  <si>
    <t>fs</t>
  </si>
  <si>
    <t>Work with the fs module.</t>
  </si>
  <si>
    <t>fs/promises readFile/writeFile, streams for large files, sync vs async variants, path module.</t>
  </si>
  <si>
    <t>Q392</t>
  </si>
  <si>
    <t>Streams</t>
  </si>
  <si>
    <t>What are streams and pipe?</t>
  </si>
  <si>
    <t>Readable, Writable, Duplex, Transform; process data chunk by chunk; pipe/pipeline with backpressure handling.</t>
  </si>
  <si>
    <t>Q393</t>
  </si>
  <si>
    <t>How do events work in Node (EventEmitter)?</t>
  </si>
  <si>
    <t>on/once/emit/off; synchronous listener calls; error event; many core modules extend EventEmitter.</t>
  </si>
  <si>
    <t>Q394</t>
  </si>
  <si>
    <t>process</t>
  </si>
  <si>
    <t>What does the global process object provide?</t>
  </si>
  <si>
    <t>env, argv, exit/exitCode, cwd, nextTick, memoryUsage, stdout/stdin, signals and events (uncaughtException).</t>
  </si>
  <si>
    <t>Q395</t>
  </si>
  <si>
    <t>Express routes</t>
  </si>
  <si>
    <t>Define GET/POST/PUT/DELETE routes in Express.</t>
  </si>
  <si>
    <t>app.get('/users/:id', (req, res) =&gt; ...); req.params/query/body; express.json().</t>
  </si>
  <si>
    <t>Q396</t>
  </si>
  <si>
    <t>Middleware</t>
  </si>
  <si>
    <t>What is Express middleware?</t>
  </si>
  <si>
    <t>Function (req, res, next) in pipeline; logging, auth, parsing, error middleware with 4 args.</t>
  </si>
  <si>
    <t>Q397</t>
  </si>
  <si>
    <t>Static files</t>
  </si>
  <si>
    <t>How do you serve static files in Express?</t>
  </si>
  <si>
    <t>app.use(express.static('public')), cache headers.</t>
  </si>
  <si>
    <t>Q398</t>
  </si>
  <si>
    <t>Router</t>
  </si>
  <si>
    <t>How do you use express.Router?</t>
  </si>
  <si>
    <t>Modular route groups: const r = express.Router(); r.get(...); app.use('/api/users', r).</t>
  </si>
  <si>
    <t>Q399</t>
  </si>
  <si>
    <t>Authentication</t>
  </si>
  <si>
    <t>Implement and describe authentication in a Node app.</t>
  </si>
  <si>
    <t>Hash passwords (bcrypt), login issues JWT/session, middleware verifies token, refresh tokens, HttpOnly cookies, Passport.</t>
  </si>
  <si>
    <t>Q400</t>
  </si>
  <si>
    <t>SQL vs NoSQL</t>
  </si>
  <si>
    <t>SQL vs NoSQL databases?</t>
  </si>
  <si>
    <t>Relational tables/schema/joins/ACID vs document/key-value/graph, flexible schema, horizontal scaling.</t>
  </si>
  <si>
    <t>Q401</t>
  </si>
  <si>
    <t>Working with DBs</t>
  </si>
  <si>
    <t>How do you work with SQL and NoSQL databases from Node?</t>
  </si>
  <si>
    <t>Drivers (pg, mysql2, mongodb), connection pools, parameterized queries, async/await.</t>
  </si>
  <si>
    <t>Q402</t>
  </si>
  <si>
    <t>ORM</t>
  </si>
  <si>
    <t>What is an ORM? Examples for Node.js.</t>
  </si>
  <si>
    <t>Maps tables to objects; TypeORM, Prisma, Sequelize, MikroORM; Mongoose ODM for MongoDB.</t>
  </si>
  <si>
    <t>Q403</t>
  </si>
  <si>
    <t>SQL query</t>
  </si>
  <si>
    <t>Write an example SQL query with a JOIN.</t>
  </si>
  <si>
    <t>SELECT o.id, u.name FROM orders o JOIN users u ON u.id = o.user_id WHERE o.total &gt; 100 ORDER BY o.created_at DESC;</t>
  </si>
  <si>
    <t>Q404</t>
  </si>
  <si>
    <t>Indexing</t>
  </si>
  <si>
    <t>Database indexing — pros and cons.</t>
  </si>
  <si>
    <t>Faster reads/lookups/sorting; slower writes, extra storage; choose columns by query patterns.</t>
  </si>
  <si>
    <t>Q405</t>
  </si>
  <si>
    <t>DB conflicts</t>
  </si>
  <si>
    <t>What are database collisions/conflicts and how do you fix them?</t>
  </si>
  <si>
    <t>Concurrent writes / race conditions, key collisions; transactions, isolation levels, optimistic locking (version column), pessimistic locks, unique constraints.</t>
  </si>
  <si>
    <t>Q406</t>
  </si>
  <si>
    <t>TypeORM (optional)</t>
  </si>
  <si>
    <t>What is TypeORM and how do entities/repositories work?</t>
  </si>
  <si>
    <t>Decorator-based entities, repositories/data mapper, migrations, relations.</t>
  </si>
  <si>
    <t>Q407</t>
  </si>
  <si>
    <t>Swagger (optional)</t>
  </si>
  <si>
    <t>What is Swagger/OpenAPI used for?</t>
  </si>
  <si>
    <t>API specification and documentation, interactive UI, client generation, contract testing.</t>
  </si>
  <si>
    <t>Q408</t>
  </si>
  <si>
    <t>Modules (optional)</t>
  </si>
  <si>
    <t>CommonJS vs ES6 modules in Node.</t>
  </si>
  <si>
    <t>require/module.exports sync vs import/export static, async loading, 'type':'module', .mjs/.cjs, interop.</t>
  </si>
  <si>
    <t>Q409</t>
  </si>
  <si>
    <t>CSR vs SSR vs SSG</t>
  </si>
  <si>
    <t>Compare CSR, SSR and SSG — pros, cons, use cases.</t>
  </si>
  <si>
    <t>CSR: SPA, slower first paint, weak SEO; SSR: HTML per request, better SEO/FCP, server cost; SSG: prebuilt at build time, fastest, stale content.</t>
  </si>
  <si>
    <t>Q410</t>
  </si>
  <si>
    <t>ISR / hybrid</t>
  </si>
  <si>
    <t>What is incremental static regeneration and hydration?</t>
  </si>
  <si>
    <t>Regenerate static pages after deploy on a revalidate interval; hydration attaches JS behaviour to server-rendered HTML.</t>
  </si>
  <si>
    <t>Q411</t>
  </si>
  <si>
    <t>Caching &amp; CDN</t>
  </si>
  <si>
    <t>How do CDNs and caching relate to rendering strategy choice?</t>
  </si>
  <si>
    <t>Static/SSG pages cache at edge easily; SSR needs cache headers (s-maxage, stale-while-revalidate) or edge rendering.</t>
  </si>
  <si>
    <t>Q412</t>
  </si>
  <si>
    <t>OWASP Top 10</t>
  </si>
  <si>
    <t>What is the OWASP Top 10 and why should JS developers know it?</t>
  </si>
  <si>
    <t>List of most critical web app risks (broken access control, injection, crypto failures, misconfig, vulnerable components...); guides secure coding.</t>
  </si>
  <si>
    <t>Q413</t>
  </si>
  <si>
    <t>OWASP &amp; inputs</t>
  </si>
  <si>
    <t>How does the OWASP Top 10 influence development practices, especially handling data inputs?</t>
  </si>
  <si>
    <t>Validate/sanitize input server-side, encode output, parameterized queries, least privilege, dependency scanning.</t>
  </si>
  <si>
    <t>Q414</t>
  </si>
  <si>
    <t>AuthN vs AuthZ</t>
  </si>
  <si>
    <t>Authentication vs authorization — how are they handled in web apps?</t>
  </si>
  <si>
    <t>AuthN: who you are (login, MFA, sessions/tokens); AuthZ: what you can do (roles/permissions checked server-side).</t>
  </si>
  <si>
    <t>Q415</t>
  </si>
  <si>
    <t>JWT</t>
  </si>
  <si>
    <t>What is JWT and how is it used in authentication?</t>
  </si>
  <si>
    <t>header.payload.signature, base64url, signed not encrypted; stateless auth via Bearer token; expiry, refresh, storage concerns.</t>
  </si>
  <si>
    <t>Q416</t>
  </si>
  <si>
    <t>OAuth 2.0</t>
  </si>
  <si>
    <t>Describe a scenario for OAuth 2.0 in a JS app. Benefits?</t>
  </si>
  <si>
    <t>'Sign in with Google' / access user's API data; Authorization Code + PKCE for SPAs; delegated access without sharing passwords.</t>
  </si>
  <si>
    <t>Q417</t>
  </si>
  <si>
    <t>What is CORS and why is it important? How do you handle a CORS issue? Which headers are involved?</t>
  </si>
  <si>
    <t>Browser mechanism relaxing same-origin policy; fix on server (Access-Control-Allow-Origin/Methods/Headers/Credentials) or dev proxy; preflight OPTIONS.</t>
  </si>
  <si>
    <t>Q418</t>
  </si>
  <si>
    <t>CORS as security</t>
  </si>
  <si>
    <t>Is CORS a security feature? How does it protect resources?</t>
  </si>
  <si>
    <t>It relaxes SOP (the real protection); protects users' browsers from reading cross-origin responses, not servers — doesn't replace auth.</t>
  </si>
  <si>
    <t>Q419</t>
  </si>
  <si>
    <t>CSP</t>
  </si>
  <si>
    <t>What is Content Security Policy, its common directives, and how does it prevent XSS? Example.</t>
  </si>
  <si>
    <t>HTTP header whitelisting sources: default-src, script-src, style-src, img-src, connect-src, frame-ancestors; blocks inline/unknown scripts (nonces/hashes).</t>
  </si>
  <si>
    <t>Q420</t>
  </si>
  <si>
    <t>CSP implementation</t>
  </si>
  <si>
    <t>Outline the steps to implement CSP in a web app.</t>
  </si>
  <si>
    <t>Inventory resources, start Content-Security-Policy-Report-Only with report-uri, remove inline scripts / add nonces, tighten, enforce.</t>
  </si>
  <si>
    <t>Q421</t>
  </si>
  <si>
    <t>CSRF</t>
  </si>
  <si>
    <t>What is CSRF and how do you prevent it?</t>
  </si>
  <si>
    <t>Forged cross-site request using victim's cookies; SameSite cookies, CSRF tokens, checking Origin, custom headers.</t>
  </si>
  <si>
    <t>Q422</t>
  </si>
  <si>
    <t>XSS vs CSRF</t>
  </si>
  <si>
    <t>Difference between XSS and CSRF?</t>
  </si>
  <si>
    <t>XSS injects script into trusted site (runs in victim's context); CSRF makes victim's browser send unwanted request; XSS defeats CSRF protections.</t>
  </si>
  <si>
    <t>Q423</t>
  </si>
  <si>
    <t>MitM</t>
  </si>
  <si>
    <t>What is a man-in-the-middle attack and how do HTTPS and JS practices reduce the risk?</t>
  </si>
  <si>
    <t>Attacker intercepts/alters traffic; HTTPS/TLS, HSTS, Secure cookies, no mixed content, SRI for third-party scripts, certificate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</si>
</sst>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name val="Arial"/>
      <family val="2"/>
    </font>
    <font>
      <sz val="11"/>
      <name val="Arial"/>
      <family val="2"/>
    </font>
    <font>
      <b/>
      <sz val="11"/>
      <name val="Arial"/>
      <family val="2"/>
    </font>
    <font>
      <b/>
      <sz val="11"/>
      <color rgb="FFFFFFFF"/>
      <name val="Arial"/>
      <family val="2"/>
    </font>
    <font>
      <sz val="10"/>
      <color rgb="FF000000"/>
      <name val="Arial"/>
      <family val="2"/>
    </font>
    <font>
      <sz val="10"/>
      <color rgb="FF808080"/>
      <name val="Arial"/>
      <family val="2"/>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2CC"/>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1" xfId="0" applyFont="1" applyFill="1" applyBorder="1" applyAlignment="1">
      <alignment vertical="center" wrapText="1"/>
    </xf>
    <xf numFmtId="0" fontId="5" fillId="0" borderId="1" xfId="0" applyFont="1" applyBorder="1" applyAlignment="1">
      <alignment vertical="top"/>
    </xf>
    <xf numFmtId="49" fontId="5" fillId="0" borderId="1" xfId="0" applyNumberFormat="1" applyFont="1" applyBorder="1" applyAlignment="1">
      <alignment vertical="top"/>
    </xf>
    <xf numFmtId="164" fontId="5" fillId="0" borderId="1" xfId="0" applyNumberFormat="1" applyFont="1" applyBorder="1" applyAlignment="1">
      <alignment vertical="top"/>
    </xf>
    <xf numFmtId="0" fontId="6" fillId="0" borderId="1" xfId="0" applyFont="1" applyBorder="1" applyAlignment="1">
      <alignment vertical="top"/>
    </xf>
    <xf numFmtId="49" fontId="6" fillId="0" borderId="1" xfId="0" applyNumberFormat="1" applyFont="1" applyBorder="1" applyAlignment="1">
      <alignment vertical="top"/>
    </xf>
    <xf numFmtId="164" fontId="6" fillId="0" borderId="1" xfId="0" applyNumberFormat="1" applyFont="1" applyBorder="1" applyAlignment="1">
      <alignment vertical="top"/>
    </xf>
    <xf numFmtId="0" fontId="3" fillId="0" borderId="0" xfId="0" applyFont="1"/>
    <xf numFmtId="164" fontId="3" fillId="0" borderId="0" xfId="0" applyNumberFormat="1" applyFont="1"/>
    <xf numFmtId="0" fontId="7" fillId="0" borderId="1" xfId="0" applyFont="1" applyBorder="1" applyAlignment="1">
      <alignment vertical="top" wrapText="1"/>
    </xf>
    <xf numFmtId="0" fontId="7" fillId="3" borderId="1" xfId="0" applyFont="1" applyFill="1" applyBorder="1" applyAlignment="1">
      <alignment vertical="top" wrapText="1"/>
    </xf>
  </cellXfs>
  <cellStyles count="1">
    <cellStyle name="Normal" xfId="0" builtinId="0"/>
  </cellStyles>
  <dxfs count="3">
    <dxf>
      <fill>
        <patternFill>
          <bgColor rgb="FFFCE4D6"/>
        </patternFill>
      </fill>
    </dxf>
    <dxf>
      <fill>
        <patternFill>
          <bgColor rgb="FFDDEBF7"/>
        </patternFill>
      </fill>
    </dxf>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08695E-75E4-044A-914A-380E6AD00693}">
  <we:reference id="df76232d-21a6-4463-9d19-0518ac5aab5d" version="1.1.0.0" store="EXCatalog" storeType="EXCatalog"/>
  <we:alternateReferences>
    <we:reference id="WA200000556" version="1.1.0.0" store="" storeType="OMEX"/>
  </we:alternateReferences>
  <we:properties>
    <we:property name="documentId" value="&quot;5f682dfb-7c5d-47b8-aa8b-226a3d4a232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zoomScaleNormal="100" workbookViewId="0"/>
  </sheetViews>
  <sheetFormatPr baseColWidth="10" defaultColWidth="8.6640625" defaultRowHeight="15" x14ac:dyDescent="0.2"/>
  <cols>
    <col min="1" max="1" width="120" customWidth="1"/>
  </cols>
  <sheetData>
    <row r="1" spans="1:1" ht="19" x14ac:dyDescent="0.2">
      <c r="A1" s="1" t="s">
        <v>0</v>
      </c>
    </row>
    <row r="2" spans="1:1" ht="31" x14ac:dyDescent="0.2">
      <c r="A2" s="2" t="s">
        <v>1</v>
      </c>
    </row>
    <row r="3" spans="1:1" ht="46" x14ac:dyDescent="0.2">
      <c r="A3" s="2" t="s">
        <v>2</v>
      </c>
    </row>
    <row r="4" spans="1:1" x14ac:dyDescent="0.2">
      <c r="A4" s="2"/>
    </row>
    <row r="5" spans="1:1" ht="16" x14ac:dyDescent="0.2">
      <c r="A5" s="3" t="s">
        <v>3</v>
      </c>
    </row>
    <row r="6" spans="1:1" ht="16" x14ac:dyDescent="0.2">
      <c r="A6" s="2" t="s">
        <v>4</v>
      </c>
    </row>
    <row r="7" spans="1:1" ht="16" x14ac:dyDescent="0.2">
      <c r="A7" s="2" t="s">
        <v>5</v>
      </c>
    </row>
    <row r="8" spans="1:1" x14ac:dyDescent="0.2">
      <c r="A8" s="2"/>
    </row>
    <row r="9" spans="1:1" ht="16" x14ac:dyDescent="0.2">
      <c r="A9" s="3" t="s">
        <v>6</v>
      </c>
    </row>
    <row r="10" spans="1:1" ht="16" x14ac:dyDescent="0.2">
      <c r="A10" s="2" t="s">
        <v>7</v>
      </c>
    </row>
    <row r="11" spans="1:1" ht="16" x14ac:dyDescent="0.2">
      <c r="A11" s="2" t="s">
        <v>8</v>
      </c>
    </row>
    <row r="12" spans="1:1" x14ac:dyDescent="0.2">
      <c r="A12" s="2"/>
    </row>
    <row r="13" spans="1:1" ht="16" x14ac:dyDescent="0.2">
      <c r="A13" s="3" t="s">
        <v>9</v>
      </c>
    </row>
    <row r="14" spans="1:1" ht="16" x14ac:dyDescent="0.2">
      <c r="A14" s="2" t="s">
        <v>10</v>
      </c>
    </row>
    <row r="15" spans="1:1" ht="16" x14ac:dyDescent="0.2">
      <c r="A15" s="2" t="s">
        <v>11</v>
      </c>
    </row>
    <row r="16" spans="1:1" ht="16" x14ac:dyDescent="0.2">
      <c r="A16" s="2" t="s">
        <v>12</v>
      </c>
    </row>
    <row r="17" spans="1:1" ht="16" x14ac:dyDescent="0.2">
      <c r="A17" s="2" t="s">
        <v>13</v>
      </c>
    </row>
    <row r="18" spans="1:1" x14ac:dyDescent="0.2">
      <c r="A18" s="2"/>
    </row>
    <row r="19" spans="1:1" ht="16" x14ac:dyDescent="0.2">
      <c r="A19" s="3" t="s">
        <v>14</v>
      </c>
    </row>
    <row r="20" spans="1:1" ht="16" x14ac:dyDescent="0.2">
      <c r="A20" s="2" t="s">
        <v>15</v>
      </c>
    </row>
    <row r="21" spans="1:1" ht="16" x14ac:dyDescent="0.2">
      <c r="A21" s="2" t="s">
        <v>16</v>
      </c>
    </row>
    <row r="22" spans="1:1" ht="16" x14ac:dyDescent="0.2">
      <c r="A22" s="2" t="s">
        <v>17</v>
      </c>
    </row>
    <row r="23" spans="1:1" x14ac:dyDescent="0.2">
      <c r="A23" s="2"/>
    </row>
    <row r="24" spans="1:1" ht="16" x14ac:dyDescent="0.2">
      <c r="A24" s="3" t="s">
        <v>18</v>
      </c>
    </row>
    <row r="25" spans="1:1" ht="16" x14ac:dyDescent="0.2">
      <c r="A25" s="2" t="s">
        <v>19</v>
      </c>
    </row>
    <row r="26" spans="1:1" x14ac:dyDescent="0.2">
      <c r="A26" s="2"/>
    </row>
    <row r="27" spans="1:1" ht="16" x14ac:dyDescent="0.2">
      <c r="A27" s="3" t="s">
        <v>20</v>
      </c>
    </row>
    <row r="28" spans="1:1" ht="31" x14ac:dyDescent="0.2">
      <c r="A28" s="2" t="s">
        <v>21</v>
      </c>
    </row>
    <row r="29" spans="1:1" ht="31" x14ac:dyDescent="0.2">
      <c r="A29" s="2" t="s">
        <v>22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5"/>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5" customWidth="1"/>
    <col min="2" max="2" width="40" customWidth="1"/>
    <col min="3" max="3" width="22" customWidth="1"/>
    <col min="4" max="4" width="20" customWidth="1"/>
    <col min="5" max="5" width="15" customWidth="1"/>
    <col min="6" max="6" width="13" customWidth="1"/>
    <col min="7" max="7" width="11" customWidth="1"/>
    <col min="8" max="8" width="13" customWidth="1"/>
    <col min="9" max="9" width="14" customWidth="1"/>
    <col min="10" max="11" width="8" customWidth="1"/>
    <col min="12" max="12" width="9" customWidth="1"/>
    <col min="13" max="14" width="15" customWidth="1"/>
  </cols>
  <sheetData>
    <row r="1" spans="1:14" ht="30" x14ac:dyDescent="0.2">
      <c r="A1" s="4" t="s">
        <v>23</v>
      </c>
      <c r="B1" s="4" t="s">
        <v>24</v>
      </c>
      <c r="C1" s="4" t="s">
        <v>25</v>
      </c>
      <c r="D1" s="4" t="s">
        <v>26</v>
      </c>
      <c r="E1" s="4" t="s">
        <v>27</v>
      </c>
      <c r="F1" s="4" t="s">
        <v>28</v>
      </c>
      <c r="G1" s="4" t="s">
        <v>29</v>
      </c>
      <c r="H1" s="4" t="s">
        <v>30</v>
      </c>
      <c r="I1" s="4" t="s">
        <v>31</v>
      </c>
      <c r="J1" s="4" t="s">
        <v>32</v>
      </c>
      <c r="K1" s="4" t="s">
        <v>33</v>
      </c>
      <c r="L1" s="4" t="s">
        <v>34</v>
      </c>
      <c r="M1" s="4" t="s">
        <v>35</v>
      </c>
      <c r="N1" s="4" t="s">
        <v>36</v>
      </c>
    </row>
    <row r="2" spans="1:14" x14ac:dyDescent="0.2">
      <c r="A2" s="5">
        <v>1</v>
      </c>
      <c r="B2" s="5" t="s">
        <v>37</v>
      </c>
      <c r="C2" s="6" t="s">
        <v>38</v>
      </c>
      <c r="D2" s="5" t="s">
        <v>39</v>
      </c>
      <c r="E2" s="5" t="s">
        <v>40</v>
      </c>
      <c r="F2" s="5" t="s">
        <v>41</v>
      </c>
      <c r="G2" s="5">
        <f>COUNTIF('Question Bank'!$B$2:$B$424,B2)</f>
        <v>29</v>
      </c>
      <c r="H2" s="5">
        <f>COUNTIFS('Question Bank'!$B$2:$B$424,B2,'Question Bank'!$C$2:$C$424,"L1 Matrix")</f>
        <v>10</v>
      </c>
      <c r="I2" s="5">
        <f>COUNTIFS('Question Bank'!$B$2:$B$424,B2,'Question Bank'!$C$2:$C$424,"JS D2 Growth")</f>
        <v>19</v>
      </c>
      <c r="J2" s="5">
        <f>COUNTIFS('Question Bank'!$B$2:$B$424,B2,'Question Bank'!$G$2:$G$424,"Basic")</f>
        <v>17</v>
      </c>
      <c r="K2" s="5">
        <f>COUNTIFS('Question Bank'!$B$2:$B$424,B2,'Question Bank'!$G$2:$G$424,"Core")</f>
        <v>12</v>
      </c>
      <c r="L2" s="5">
        <f>COUNTIFS('Question Bank'!$B$2:$B$424,B2,'Question Bank'!$G$2:$G$424,"Stretch")</f>
        <v>0</v>
      </c>
      <c r="M2" s="5">
        <f>COUNTIFS('Question Bank'!$B$2:$B$424,B2,'Question Bank'!$K$2:$K$424,"&lt;&gt;")</f>
        <v>0</v>
      </c>
      <c r="N2" s="7" t="str">
        <f>IFERROR(AVERAGEIF('Question Bank'!$B$2:$B$424,B2,'Question Bank'!$K$2:$K$424),"—")</f>
        <v>—</v>
      </c>
    </row>
    <row r="3" spans="1:14" x14ac:dyDescent="0.2">
      <c r="A3" s="5">
        <v>2</v>
      </c>
      <c r="B3" s="5" t="s">
        <v>42</v>
      </c>
      <c r="C3" s="6" t="s">
        <v>43</v>
      </c>
      <c r="D3" s="5" t="s">
        <v>44</v>
      </c>
      <c r="E3" s="5" t="s">
        <v>45</v>
      </c>
      <c r="F3" s="5" t="s">
        <v>41</v>
      </c>
      <c r="G3" s="5">
        <f>COUNTIF('Question Bank'!$B$2:$B$424,B3)</f>
        <v>6</v>
      </c>
      <c r="H3" s="5">
        <f>COUNTIFS('Question Bank'!$B$2:$B$424,B3,'Question Bank'!$C$2:$C$424,"L1 Matrix")</f>
        <v>6</v>
      </c>
      <c r="I3" s="5">
        <f>COUNTIFS('Question Bank'!$B$2:$B$424,B3,'Question Bank'!$C$2:$C$424,"JS D2 Growth")</f>
        <v>0</v>
      </c>
      <c r="J3" s="5">
        <f>COUNTIFS('Question Bank'!$B$2:$B$424,B3,'Question Bank'!$G$2:$G$424,"Basic")</f>
        <v>6</v>
      </c>
      <c r="K3" s="5">
        <f>COUNTIFS('Question Bank'!$B$2:$B$424,B3,'Question Bank'!$G$2:$G$424,"Core")</f>
        <v>0</v>
      </c>
      <c r="L3" s="5">
        <f>COUNTIFS('Question Bank'!$B$2:$B$424,B3,'Question Bank'!$G$2:$G$424,"Stretch")</f>
        <v>0</v>
      </c>
      <c r="M3" s="5">
        <f>COUNTIFS('Question Bank'!$B$2:$B$424,B3,'Question Bank'!$K$2:$K$424,"&lt;&gt;")</f>
        <v>0</v>
      </c>
      <c r="N3" s="7" t="str">
        <f>IFERROR(AVERAGEIF('Question Bank'!$B$2:$B$424,B3,'Question Bank'!$K$2:$K$424),"—")</f>
        <v>—</v>
      </c>
    </row>
    <row r="4" spans="1:14" x14ac:dyDescent="0.2">
      <c r="A4" s="5">
        <v>3</v>
      </c>
      <c r="B4" s="5" t="s">
        <v>46</v>
      </c>
      <c r="C4" s="6" t="s">
        <v>47</v>
      </c>
      <c r="D4" s="5" t="s">
        <v>39</v>
      </c>
      <c r="E4" s="5" t="s">
        <v>40</v>
      </c>
      <c r="F4" s="5" t="s">
        <v>41</v>
      </c>
      <c r="G4" s="5">
        <f>COUNTIF('Question Bank'!$B$2:$B$424,B4)</f>
        <v>33</v>
      </c>
      <c r="H4" s="5">
        <f>COUNTIFS('Question Bank'!$B$2:$B$424,B4,'Question Bank'!$C$2:$C$424,"L1 Matrix")</f>
        <v>14</v>
      </c>
      <c r="I4" s="5">
        <f>COUNTIFS('Question Bank'!$B$2:$B$424,B4,'Question Bank'!$C$2:$C$424,"JS D2 Growth")</f>
        <v>19</v>
      </c>
      <c r="J4" s="5">
        <f>COUNTIFS('Question Bank'!$B$2:$B$424,B4,'Question Bank'!$G$2:$G$424,"Basic")</f>
        <v>13</v>
      </c>
      <c r="K4" s="5">
        <f>COUNTIFS('Question Bank'!$B$2:$B$424,B4,'Question Bank'!$G$2:$G$424,"Core")</f>
        <v>17</v>
      </c>
      <c r="L4" s="5">
        <f>COUNTIFS('Question Bank'!$B$2:$B$424,B4,'Question Bank'!$G$2:$G$424,"Stretch")</f>
        <v>3</v>
      </c>
      <c r="M4" s="5">
        <f>COUNTIFS('Question Bank'!$B$2:$B$424,B4,'Question Bank'!$K$2:$K$424,"&lt;&gt;")</f>
        <v>0</v>
      </c>
      <c r="N4" s="7" t="str">
        <f>IFERROR(AVERAGEIF('Question Bank'!$B$2:$B$424,B4,'Question Bank'!$K$2:$K$424),"—")</f>
        <v>—</v>
      </c>
    </row>
    <row r="5" spans="1:14" x14ac:dyDescent="0.2">
      <c r="A5" s="5">
        <v>4</v>
      </c>
      <c r="B5" s="5" t="s">
        <v>48</v>
      </c>
      <c r="C5" s="6" t="s">
        <v>49</v>
      </c>
      <c r="D5" s="5" t="s">
        <v>39</v>
      </c>
      <c r="E5" s="5" t="s">
        <v>40</v>
      </c>
      <c r="F5" s="5" t="s">
        <v>41</v>
      </c>
      <c r="G5" s="5">
        <f>COUNTIF('Question Bank'!$B$2:$B$424,B5)</f>
        <v>54</v>
      </c>
      <c r="H5" s="5">
        <f>COUNTIFS('Question Bank'!$B$2:$B$424,B5,'Question Bank'!$C$2:$C$424,"L1 Matrix")</f>
        <v>33</v>
      </c>
      <c r="I5" s="5">
        <f>COUNTIFS('Question Bank'!$B$2:$B$424,B5,'Question Bank'!$C$2:$C$424,"JS D2 Growth")</f>
        <v>21</v>
      </c>
      <c r="J5" s="5">
        <f>COUNTIFS('Question Bank'!$B$2:$B$424,B5,'Question Bank'!$G$2:$G$424,"Basic")</f>
        <v>14</v>
      </c>
      <c r="K5" s="5">
        <f>COUNTIFS('Question Bank'!$B$2:$B$424,B5,'Question Bank'!$G$2:$G$424,"Core")</f>
        <v>35</v>
      </c>
      <c r="L5" s="5">
        <f>COUNTIFS('Question Bank'!$B$2:$B$424,B5,'Question Bank'!$G$2:$G$424,"Stretch")</f>
        <v>5</v>
      </c>
      <c r="M5" s="5">
        <f>COUNTIFS('Question Bank'!$B$2:$B$424,B5,'Question Bank'!$K$2:$K$424,"&lt;&gt;")</f>
        <v>0</v>
      </c>
      <c r="N5" s="7" t="str">
        <f>IFERROR(AVERAGEIF('Question Bank'!$B$2:$B$424,B5,'Question Bank'!$K$2:$K$424),"—")</f>
        <v>—</v>
      </c>
    </row>
    <row r="6" spans="1:14" x14ac:dyDescent="0.2">
      <c r="A6" s="5">
        <v>5</v>
      </c>
      <c r="B6" s="5" t="s">
        <v>50</v>
      </c>
      <c r="C6" s="6" t="s">
        <v>51</v>
      </c>
      <c r="D6" s="5" t="s">
        <v>52</v>
      </c>
      <c r="E6" s="5" t="s">
        <v>40</v>
      </c>
      <c r="F6" s="5" t="s">
        <v>41</v>
      </c>
      <c r="G6" s="5">
        <f>COUNTIF('Question Bank'!$B$2:$B$424,B6)</f>
        <v>36</v>
      </c>
      <c r="H6" s="5">
        <f>COUNTIFS('Question Bank'!$B$2:$B$424,B6,'Question Bank'!$C$2:$C$424,"L1 Matrix")</f>
        <v>12</v>
      </c>
      <c r="I6" s="5">
        <f>COUNTIFS('Question Bank'!$B$2:$B$424,B6,'Question Bank'!$C$2:$C$424,"JS D2 Growth")</f>
        <v>24</v>
      </c>
      <c r="J6" s="5">
        <f>COUNTIFS('Question Bank'!$B$2:$B$424,B6,'Question Bank'!$G$2:$G$424,"Basic")</f>
        <v>17</v>
      </c>
      <c r="K6" s="5">
        <f>COUNTIFS('Question Bank'!$B$2:$B$424,B6,'Question Bank'!$G$2:$G$424,"Core")</f>
        <v>16</v>
      </c>
      <c r="L6" s="5">
        <f>COUNTIFS('Question Bank'!$B$2:$B$424,B6,'Question Bank'!$G$2:$G$424,"Stretch")</f>
        <v>3</v>
      </c>
      <c r="M6" s="5">
        <f>COUNTIFS('Question Bank'!$B$2:$B$424,B6,'Question Bank'!$K$2:$K$424,"&lt;&gt;")</f>
        <v>0</v>
      </c>
      <c r="N6" s="7" t="str">
        <f>IFERROR(AVERAGEIF('Question Bank'!$B$2:$B$424,B6,'Question Bank'!$K$2:$K$424),"—")</f>
        <v>—</v>
      </c>
    </row>
    <row r="7" spans="1:14" x14ac:dyDescent="0.2">
      <c r="A7" s="5">
        <v>6</v>
      </c>
      <c r="B7" s="5" t="s">
        <v>53</v>
      </c>
      <c r="C7" s="6" t="s">
        <v>54</v>
      </c>
      <c r="D7" s="5" t="s">
        <v>44</v>
      </c>
      <c r="E7" s="5" t="s">
        <v>40</v>
      </c>
      <c r="F7" s="5" t="s">
        <v>41</v>
      </c>
      <c r="G7" s="5">
        <f>COUNTIF('Question Bank'!$B$2:$B$424,B7)</f>
        <v>5</v>
      </c>
      <c r="H7" s="5">
        <f>COUNTIFS('Question Bank'!$B$2:$B$424,B7,'Question Bank'!$C$2:$C$424,"L1 Matrix")</f>
        <v>5</v>
      </c>
      <c r="I7" s="5">
        <f>COUNTIFS('Question Bank'!$B$2:$B$424,B7,'Question Bank'!$C$2:$C$424,"JS D2 Growth")</f>
        <v>0</v>
      </c>
      <c r="J7" s="5">
        <f>COUNTIFS('Question Bank'!$B$2:$B$424,B7,'Question Bank'!$G$2:$G$424,"Basic")</f>
        <v>5</v>
      </c>
      <c r="K7" s="5">
        <f>COUNTIFS('Question Bank'!$B$2:$B$424,B7,'Question Bank'!$G$2:$G$424,"Core")</f>
        <v>0</v>
      </c>
      <c r="L7" s="5">
        <f>COUNTIFS('Question Bank'!$B$2:$B$424,B7,'Question Bank'!$G$2:$G$424,"Stretch")</f>
        <v>0</v>
      </c>
      <c r="M7" s="5">
        <f>COUNTIFS('Question Bank'!$B$2:$B$424,B7,'Question Bank'!$K$2:$K$424,"&lt;&gt;")</f>
        <v>0</v>
      </c>
      <c r="N7" s="7" t="str">
        <f>IFERROR(AVERAGEIF('Question Bank'!$B$2:$B$424,B7,'Question Bank'!$K$2:$K$424),"—")</f>
        <v>—</v>
      </c>
    </row>
    <row r="8" spans="1:14" x14ac:dyDescent="0.2">
      <c r="A8" s="5">
        <v>7</v>
      </c>
      <c r="B8" s="5" t="s">
        <v>55</v>
      </c>
      <c r="C8" s="6" t="s">
        <v>56</v>
      </c>
      <c r="D8" s="5" t="s">
        <v>57</v>
      </c>
      <c r="E8" s="5" t="s">
        <v>40</v>
      </c>
      <c r="F8" s="5" t="s">
        <v>41</v>
      </c>
      <c r="G8" s="5">
        <f>COUNTIF('Question Bank'!$B$2:$B$424,B8)</f>
        <v>9</v>
      </c>
      <c r="H8" s="5">
        <f>COUNTIFS('Question Bank'!$B$2:$B$424,B8,'Question Bank'!$C$2:$C$424,"L1 Matrix")</f>
        <v>9</v>
      </c>
      <c r="I8" s="5">
        <f>COUNTIFS('Question Bank'!$B$2:$B$424,B8,'Question Bank'!$C$2:$C$424,"JS D2 Growth")</f>
        <v>0</v>
      </c>
      <c r="J8" s="5">
        <f>COUNTIFS('Question Bank'!$B$2:$B$424,B8,'Question Bank'!$G$2:$G$424,"Basic")</f>
        <v>3</v>
      </c>
      <c r="K8" s="5">
        <f>COUNTIFS('Question Bank'!$B$2:$B$424,B8,'Question Bank'!$G$2:$G$424,"Core")</f>
        <v>6</v>
      </c>
      <c r="L8" s="5">
        <f>COUNTIFS('Question Bank'!$B$2:$B$424,B8,'Question Bank'!$G$2:$G$424,"Stretch")</f>
        <v>0</v>
      </c>
      <c r="M8" s="5">
        <f>COUNTIFS('Question Bank'!$B$2:$B$424,B8,'Question Bank'!$K$2:$K$424,"&lt;&gt;")</f>
        <v>0</v>
      </c>
      <c r="N8" s="7" t="str">
        <f>IFERROR(AVERAGEIF('Question Bank'!$B$2:$B$424,B8,'Question Bank'!$K$2:$K$424),"—")</f>
        <v>—</v>
      </c>
    </row>
    <row r="9" spans="1:14" x14ac:dyDescent="0.2">
      <c r="A9" s="5">
        <v>8</v>
      </c>
      <c r="B9" s="5" t="s">
        <v>58</v>
      </c>
      <c r="C9" s="6" t="s">
        <v>59</v>
      </c>
      <c r="D9" s="5" t="s">
        <v>52</v>
      </c>
      <c r="E9" s="5" t="s">
        <v>40</v>
      </c>
      <c r="F9" s="5" t="s">
        <v>41</v>
      </c>
      <c r="G9" s="5">
        <f>COUNTIF('Question Bank'!$B$2:$B$424,B9)</f>
        <v>33</v>
      </c>
      <c r="H9" s="5">
        <f>COUNTIFS('Question Bank'!$B$2:$B$424,B9,'Question Bank'!$C$2:$C$424,"L1 Matrix")</f>
        <v>13</v>
      </c>
      <c r="I9" s="5">
        <f>COUNTIFS('Question Bank'!$B$2:$B$424,B9,'Question Bank'!$C$2:$C$424,"JS D2 Growth")</f>
        <v>20</v>
      </c>
      <c r="J9" s="5">
        <f>COUNTIFS('Question Bank'!$B$2:$B$424,B9,'Question Bank'!$G$2:$G$424,"Basic")</f>
        <v>13</v>
      </c>
      <c r="K9" s="5">
        <f>COUNTIFS('Question Bank'!$B$2:$B$424,B9,'Question Bank'!$G$2:$G$424,"Core")</f>
        <v>20</v>
      </c>
      <c r="L9" s="5">
        <f>COUNTIFS('Question Bank'!$B$2:$B$424,B9,'Question Bank'!$G$2:$G$424,"Stretch")</f>
        <v>0</v>
      </c>
      <c r="M9" s="5">
        <f>COUNTIFS('Question Bank'!$B$2:$B$424,B9,'Question Bank'!$K$2:$K$424,"&lt;&gt;")</f>
        <v>0</v>
      </c>
      <c r="N9" s="7" t="str">
        <f>IFERROR(AVERAGEIF('Question Bank'!$B$2:$B$424,B9,'Question Bank'!$K$2:$K$424),"—")</f>
        <v>—</v>
      </c>
    </row>
    <row r="10" spans="1:14" x14ac:dyDescent="0.2">
      <c r="A10" s="5">
        <v>9</v>
      </c>
      <c r="B10" s="5" t="s">
        <v>60</v>
      </c>
      <c r="C10" s="6" t="s">
        <v>61</v>
      </c>
      <c r="D10" s="5" t="s">
        <v>39</v>
      </c>
      <c r="E10" s="5" t="s">
        <v>40</v>
      </c>
      <c r="F10" s="5" t="s">
        <v>41</v>
      </c>
      <c r="G10" s="5">
        <f>COUNTIF('Question Bank'!$B$2:$B$424,B10)</f>
        <v>6</v>
      </c>
      <c r="H10" s="5">
        <f>COUNTIFS('Question Bank'!$B$2:$B$424,B10,'Question Bank'!$C$2:$C$424,"L1 Matrix")</f>
        <v>6</v>
      </c>
      <c r="I10" s="5">
        <f>COUNTIFS('Question Bank'!$B$2:$B$424,B10,'Question Bank'!$C$2:$C$424,"JS D2 Growth")</f>
        <v>0</v>
      </c>
      <c r="J10" s="5">
        <f>COUNTIFS('Question Bank'!$B$2:$B$424,B10,'Question Bank'!$G$2:$G$424,"Basic")</f>
        <v>2</v>
      </c>
      <c r="K10" s="5">
        <f>COUNTIFS('Question Bank'!$B$2:$B$424,B10,'Question Bank'!$G$2:$G$424,"Core")</f>
        <v>4</v>
      </c>
      <c r="L10" s="5">
        <f>COUNTIFS('Question Bank'!$B$2:$B$424,B10,'Question Bank'!$G$2:$G$424,"Stretch")</f>
        <v>0</v>
      </c>
      <c r="M10" s="5">
        <f>COUNTIFS('Question Bank'!$B$2:$B$424,B10,'Question Bank'!$K$2:$K$424,"&lt;&gt;")</f>
        <v>0</v>
      </c>
      <c r="N10" s="7" t="str">
        <f>IFERROR(AVERAGEIF('Question Bank'!$B$2:$B$424,B10,'Question Bank'!$K$2:$K$424),"—")</f>
        <v>—</v>
      </c>
    </row>
    <row r="11" spans="1:14" x14ac:dyDescent="0.2">
      <c r="A11" s="5">
        <v>10</v>
      </c>
      <c r="B11" s="5" t="s">
        <v>62</v>
      </c>
      <c r="C11" s="6" t="s">
        <v>63</v>
      </c>
      <c r="D11" s="5" t="s">
        <v>39</v>
      </c>
      <c r="E11" s="5" t="s">
        <v>40</v>
      </c>
      <c r="F11" s="5" t="s">
        <v>41</v>
      </c>
      <c r="G11" s="5">
        <f>COUNTIF('Question Bank'!$B$2:$B$424,B11)</f>
        <v>34</v>
      </c>
      <c r="H11" s="5">
        <f>COUNTIFS('Question Bank'!$B$2:$B$424,B11,'Question Bank'!$C$2:$C$424,"L1 Matrix")</f>
        <v>10</v>
      </c>
      <c r="I11" s="5">
        <f>COUNTIFS('Question Bank'!$B$2:$B$424,B11,'Question Bank'!$C$2:$C$424,"JS D2 Growth")</f>
        <v>24</v>
      </c>
      <c r="J11" s="5">
        <f>COUNTIFS('Question Bank'!$B$2:$B$424,B11,'Question Bank'!$G$2:$G$424,"Basic")</f>
        <v>11</v>
      </c>
      <c r="K11" s="5">
        <f>COUNTIFS('Question Bank'!$B$2:$B$424,B11,'Question Bank'!$G$2:$G$424,"Core")</f>
        <v>20</v>
      </c>
      <c r="L11" s="5">
        <f>COUNTIFS('Question Bank'!$B$2:$B$424,B11,'Question Bank'!$G$2:$G$424,"Stretch")</f>
        <v>3</v>
      </c>
      <c r="M11" s="5">
        <f>COUNTIFS('Question Bank'!$B$2:$B$424,B11,'Question Bank'!$K$2:$K$424,"&lt;&gt;")</f>
        <v>0</v>
      </c>
      <c r="N11" s="7" t="str">
        <f>IFERROR(AVERAGEIF('Question Bank'!$B$2:$B$424,B11,'Question Bank'!$K$2:$K$424),"—")</f>
        <v>—</v>
      </c>
    </row>
    <row r="12" spans="1:14" x14ac:dyDescent="0.2">
      <c r="A12" s="5">
        <v>11</v>
      </c>
      <c r="B12" s="5" t="s">
        <v>64</v>
      </c>
      <c r="C12" s="6" t="s">
        <v>65</v>
      </c>
      <c r="D12" s="5" t="s">
        <v>39</v>
      </c>
      <c r="E12" s="5" t="s">
        <v>40</v>
      </c>
      <c r="F12" s="5" t="s">
        <v>41</v>
      </c>
      <c r="G12" s="5">
        <f>COUNTIF('Question Bank'!$B$2:$B$424,B12)</f>
        <v>57</v>
      </c>
      <c r="H12" s="5">
        <f>COUNTIFS('Question Bank'!$B$2:$B$424,B12,'Question Bank'!$C$2:$C$424,"L1 Matrix")</f>
        <v>13</v>
      </c>
      <c r="I12" s="5">
        <f>COUNTIFS('Question Bank'!$B$2:$B$424,B12,'Question Bank'!$C$2:$C$424,"JS D2 Growth")</f>
        <v>44</v>
      </c>
      <c r="J12" s="5">
        <f>COUNTIFS('Question Bank'!$B$2:$B$424,B12,'Question Bank'!$G$2:$G$424,"Basic")</f>
        <v>17</v>
      </c>
      <c r="K12" s="5">
        <f>COUNTIFS('Question Bank'!$B$2:$B$424,B12,'Question Bank'!$G$2:$G$424,"Core")</f>
        <v>37</v>
      </c>
      <c r="L12" s="5">
        <f>COUNTIFS('Question Bank'!$B$2:$B$424,B12,'Question Bank'!$G$2:$G$424,"Stretch")</f>
        <v>3</v>
      </c>
      <c r="M12" s="5">
        <f>COUNTIFS('Question Bank'!$B$2:$B$424,B12,'Question Bank'!$K$2:$K$424,"&lt;&gt;")</f>
        <v>0</v>
      </c>
      <c r="N12" s="7" t="str">
        <f>IFERROR(AVERAGEIF('Question Bank'!$B$2:$B$424,B12,'Question Bank'!$K$2:$K$424),"—")</f>
        <v>—</v>
      </c>
    </row>
    <row r="13" spans="1:14" x14ac:dyDescent="0.2">
      <c r="A13" s="5">
        <v>12</v>
      </c>
      <c r="B13" s="5" t="s">
        <v>66</v>
      </c>
      <c r="C13" s="6" t="s">
        <v>67</v>
      </c>
      <c r="D13" s="5" t="s">
        <v>44</v>
      </c>
      <c r="E13" s="5" t="s">
        <v>40</v>
      </c>
      <c r="F13" s="5" t="s">
        <v>41</v>
      </c>
      <c r="G13" s="5">
        <f>COUNTIF('Question Bank'!$B$2:$B$424,B13)</f>
        <v>7</v>
      </c>
      <c r="H13" s="5">
        <f>COUNTIFS('Question Bank'!$B$2:$B$424,B13,'Question Bank'!$C$2:$C$424,"L1 Matrix")</f>
        <v>2</v>
      </c>
      <c r="I13" s="5">
        <f>COUNTIFS('Question Bank'!$B$2:$B$424,B13,'Question Bank'!$C$2:$C$424,"JS D2 Growth")</f>
        <v>5</v>
      </c>
      <c r="J13" s="5">
        <f>COUNTIFS('Question Bank'!$B$2:$B$424,B13,'Question Bank'!$G$2:$G$424,"Basic")</f>
        <v>6</v>
      </c>
      <c r="K13" s="5">
        <f>COUNTIFS('Question Bank'!$B$2:$B$424,B13,'Question Bank'!$G$2:$G$424,"Core")</f>
        <v>1</v>
      </c>
      <c r="L13" s="5">
        <f>COUNTIFS('Question Bank'!$B$2:$B$424,B13,'Question Bank'!$G$2:$G$424,"Stretch")</f>
        <v>0</v>
      </c>
      <c r="M13" s="5">
        <f>COUNTIFS('Question Bank'!$B$2:$B$424,B13,'Question Bank'!$K$2:$K$424,"&lt;&gt;")</f>
        <v>0</v>
      </c>
      <c r="N13" s="7" t="str">
        <f>IFERROR(AVERAGEIF('Question Bank'!$B$2:$B$424,B13,'Question Bank'!$K$2:$K$424),"—")</f>
        <v>—</v>
      </c>
    </row>
    <row r="14" spans="1:14" x14ac:dyDescent="0.2">
      <c r="A14" s="5">
        <v>13</v>
      </c>
      <c r="B14" s="5" t="s">
        <v>68</v>
      </c>
      <c r="C14" s="6" t="s">
        <v>69</v>
      </c>
      <c r="D14" s="5" t="s">
        <v>44</v>
      </c>
      <c r="E14" s="5" t="s">
        <v>40</v>
      </c>
      <c r="F14" s="5" t="s">
        <v>41</v>
      </c>
      <c r="G14" s="5">
        <f>COUNTIF('Question Bank'!$B$2:$B$424,B14)</f>
        <v>6</v>
      </c>
      <c r="H14" s="5">
        <f>COUNTIFS('Question Bank'!$B$2:$B$424,B14,'Question Bank'!$C$2:$C$424,"L1 Matrix")</f>
        <v>2</v>
      </c>
      <c r="I14" s="5">
        <f>COUNTIFS('Question Bank'!$B$2:$B$424,B14,'Question Bank'!$C$2:$C$424,"JS D2 Growth")</f>
        <v>4</v>
      </c>
      <c r="J14" s="5">
        <f>COUNTIFS('Question Bank'!$B$2:$B$424,B14,'Question Bank'!$G$2:$G$424,"Basic")</f>
        <v>5</v>
      </c>
      <c r="K14" s="5">
        <f>COUNTIFS('Question Bank'!$B$2:$B$424,B14,'Question Bank'!$G$2:$G$424,"Core")</f>
        <v>1</v>
      </c>
      <c r="L14" s="5">
        <f>COUNTIFS('Question Bank'!$B$2:$B$424,B14,'Question Bank'!$G$2:$G$424,"Stretch")</f>
        <v>0</v>
      </c>
      <c r="M14" s="5">
        <f>COUNTIFS('Question Bank'!$B$2:$B$424,B14,'Question Bank'!$K$2:$K$424,"&lt;&gt;")</f>
        <v>0</v>
      </c>
      <c r="N14" s="7" t="str">
        <f>IFERROR(AVERAGEIF('Question Bank'!$B$2:$B$424,B14,'Question Bank'!$K$2:$K$424),"—")</f>
        <v>—</v>
      </c>
    </row>
    <row r="15" spans="1:14" x14ac:dyDescent="0.2">
      <c r="A15" s="5">
        <v>14</v>
      </c>
      <c r="B15" s="5" t="s">
        <v>70</v>
      </c>
      <c r="C15" s="6" t="s">
        <v>71</v>
      </c>
      <c r="D15" s="5" t="s">
        <v>44</v>
      </c>
      <c r="E15" s="5" t="s">
        <v>40</v>
      </c>
      <c r="F15" s="5" t="s">
        <v>41</v>
      </c>
      <c r="G15" s="5">
        <f>COUNTIF('Question Bank'!$B$2:$B$424,B15)</f>
        <v>1</v>
      </c>
      <c r="H15" s="5">
        <f>COUNTIFS('Question Bank'!$B$2:$B$424,B15,'Question Bank'!$C$2:$C$424,"L1 Matrix")</f>
        <v>1</v>
      </c>
      <c r="I15" s="5">
        <f>COUNTIFS('Question Bank'!$B$2:$B$424,B15,'Question Bank'!$C$2:$C$424,"JS D2 Growth")</f>
        <v>0</v>
      </c>
      <c r="J15" s="5">
        <f>COUNTIFS('Question Bank'!$B$2:$B$424,B15,'Question Bank'!$G$2:$G$424,"Basic")</f>
        <v>1</v>
      </c>
      <c r="K15" s="5">
        <f>COUNTIFS('Question Bank'!$B$2:$B$424,B15,'Question Bank'!$G$2:$G$424,"Core")</f>
        <v>0</v>
      </c>
      <c r="L15" s="5">
        <f>COUNTIFS('Question Bank'!$B$2:$B$424,B15,'Question Bank'!$G$2:$G$424,"Stretch")</f>
        <v>0</v>
      </c>
      <c r="M15" s="5">
        <f>COUNTIFS('Question Bank'!$B$2:$B$424,B15,'Question Bank'!$K$2:$K$424,"&lt;&gt;")</f>
        <v>0</v>
      </c>
      <c r="N15" s="7" t="str">
        <f>IFERROR(AVERAGEIF('Question Bank'!$B$2:$B$424,B15,'Question Bank'!$K$2:$K$424),"—")</f>
        <v>—</v>
      </c>
    </row>
    <row r="16" spans="1:14" x14ac:dyDescent="0.2">
      <c r="A16" s="5">
        <v>15</v>
      </c>
      <c r="B16" s="5" t="s">
        <v>72</v>
      </c>
      <c r="C16" s="6" t="s">
        <v>73</v>
      </c>
      <c r="D16" s="5" t="s">
        <v>44</v>
      </c>
      <c r="E16" s="5" t="s">
        <v>40</v>
      </c>
      <c r="F16" s="5" t="s">
        <v>41</v>
      </c>
      <c r="G16" s="5">
        <f>COUNTIF('Question Bank'!$B$2:$B$424,B16)</f>
        <v>10</v>
      </c>
      <c r="H16" s="5">
        <f>COUNTIFS('Question Bank'!$B$2:$B$424,B16,'Question Bank'!$C$2:$C$424,"L1 Matrix")</f>
        <v>10</v>
      </c>
      <c r="I16" s="5">
        <f>COUNTIFS('Question Bank'!$B$2:$B$424,B16,'Question Bank'!$C$2:$C$424,"JS D2 Growth")</f>
        <v>0</v>
      </c>
      <c r="J16" s="5">
        <f>COUNTIFS('Question Bank'!$B$2:$B$424,B16,'Question Bank'!$G$2:$G$424,"Basic")</f>
        <v>10</v>
      </c>
      <c r="K16" s="5">
        <f>COUNTIFS('Question Bank'!$B$2:$B$424,B16,'Question Bank'!$G$2:$G$424,"Core")</f>
        <v>0</v>
      </c>
      <c r="L16" s="5">
        <f>COUNTIFS('Question Bank'!$B$2:$B$424,B16,'Question Bank'!$G$2:$G$424,"Stretch")</f>
        <v>0</v>
      </c>
      <c r="M16" s="5">
        <f>COUNTIFS('Question Bank'!$B$2:$B$424,B16,'Question Bank'!$K$2:$K$424,"&lt;&gt;")</f>
        <v>0</v>
      </c>
      <c r="N16" s="7" t="str">
        <f>IFERROR(AVERAGEIF('Question Bank'!$B$2:$B$424,B16,'Question Bank'!$K$2:$K$424),"—")</f>
        <v>—</v>
      </c>
    </row>
    <row r="17" spans="1:14" x14ac:dyDescent="0.2">
      <c r="A17" s="5">
        <v>16</v>
      </c>
      <c r="B17" s="5" t="s">
        <v>74</v>
      </c>
      <c r="C17" s="6" t="s">
        <v>75</v>
      </c>
      <c r="D17" s="5" t="s">
        <v>44</v>
      </c>
      <c r="E17" s="5" t="s">
        <v>40</v>
      </c>
      <c r="F17" s="5" t="s">
        <v>41</v>
      </c>
      <c r="G17" s="5">
        <f>COUNTIF('Question Bank'!$B$2:$B$424,B17)</f>
        <v>3</v>
      </c>
      <c r="H17" s="5">
        <f>COUNTIFS('Question Bank'!$B$2:$B$424,B17,'Question Bank'!$C$2:$C$424,"L1 Matrix")</f>
        <v>3</v>
      </c>
      <c r="I17" s="5">
        <f>COUNTIFS('Question Bank'!$B$2:$B$424,B17,'Question Bank'!$C$2:$C$424,"JS D2 Growth")</f>
        <v>0</v>
      </c>
      <c r="J17" s="5">
        <f>COUNTIFS('Question Bank'!$B$2:$B$424,B17,'Question Bank'!$G$2:$G$424,"Basic")</f>
        <v>3</v>
      </c>
      <c r="K17" s="5">
        <f>COUNTIFS('Question Bank'!$B$2:$B$424,B17,'Question Bank'!$G$2:$G$424,"Core")</f>
        <v>0</v>
      </c>
      <c r="L17" s="5">
        <f>COUNTIFS('Question Bank'!$B$2:$B$424,B17,'Question Bank'!$G$2:$G$424,"Stretch")</f>
        <v>0</v>
      </c>
      <c r="M17" s="5">
        <f>COUNTIFS('Question Bank'!$B$2:$B$424,B17,'Question Bank'!$K$2:$K$424,"&lt;&gt;")</f>
        <v>0</v>
      </c>
      <c r="N17" s="7" t="str">
        <f>IFERROR(AVERAGEIF('Question Bank'!$B$2:$B$424,B17,'Question Bank'!$K$2:$K$424),"—")</f>
        <v>—</v>
      </c>
    </row>
    <row r="18" spans="1:14" x14ac:dyDescent="0.2">
      <c r="A18" s="5">
        <v>17</v>
      </c>
      <c r="B18" s="5" t="s">
        <v>76</v>
      </c>
      <c r="C18" s="6" t="s">
        <v>77</v>
      </c>
      <c r="D18" s="5" t="s">
        <v>44</v>
      </c>
      <c r="E18" s="5" t="s">
        <v>40</v>
      </c>
      <c r="F18" s="5" t="s">
        <v>41</v>
      </c>
      <c r="G18" s="5">
        <f>COUNTIF('Question Bank'!$B$2:$B$424,B18)</f>
        <v>6</v>
      </c>
      <c r="H18" s="5">
        <f>COUNTIFS('Question Bank'!$B$2:$B$424,B18,'Question Bank'!$C$2:$C$424,"L1 Matrix")</f>
        <v>6</v>
      </c>
      <c r="I18" s="5">
        <f>COUNTIFS('Question Bank'!$B$2:$B$424,B18,'Question Bank'!$C$2:$C$424,"JS D2 Growth")</f>
        <v>0</v>
      </c>
      <c r="J18" s="5">
        <f>COUNTIFS('Question Bank'!$B$2:$B$424,B18,'Question Bank'!$G$2:$G$424,"Basic")</f>
        <v>6</v>
      </c>
      <c r="K18" s="5">
        <f>COUNTIFS('Question Bank'!$B$2:$B$424,B18,'Question Bank'!$G$2:$G$424,"Core")</f>
        <v>0</v>
      </c>
      <c r="L18" s="5">
        <f>COUNTIFS('Question Bank'!$B$2:$B$424,B18,'Question Bank'!$G$2:$G$424,"Stretch")</f>
        <v>0</v>
      </c>
      <c r="M18" s="5">
        <f>COUNTIFS('Question Bank'!$B$2:$B$424,B18,'Question Bank'!$K$2:$K$424,"&lt;&gt;")</f>
        <v>0</v>
      </c>
      <c r="N18" s="7" t="str">
        <f>IFERROR(AVERAGEIF('Question Bank'!$B$2:$B$424,B18,'Question Bank'!$K$2:$K$424),"—")</f>
        <v>—</v>
      </c>
    </row>
    <row r="19" spans="1:14" x14ac:dyDescent="0.2">
      <c r="A19" s="5">
        <v>18</v>
      </c>
      <c r="B19" s="5" t="s">
        <v>78</v>
      </c>
      <c r="C19" s="6" t="s">
        <v>79</v>
      </c>
      <c r="D19" s="5" t="s">
        <v>44</v>
      </c>
      <c r="E19" s="5" t="s">
        <v>40</v>
      </c>
      <c r="F19" s="5" t="s">
        <v>41</v>
      </c>
      <c r="G19" s="5">
        <f>COUNTIF('Question Bank'!$B$2:$B$424,B19)</f>
        <v>5</v>
      </c>
      <c r="H19" s="5">
        <f>COUNTIFS('Question Bank'!$B$2:$B$424,B19,'Question Bank'!$C$2:$C$424,"L1 Matrix")</f>
        <v>5</v>
      </c>
      <c r="I19" s="5">
        <f>COUNTIFS('Question Bank'!$B$2:$B$424,B19,'Question Bank'!$C$2:$C$424,"JS D2 Growth")</f>
        <v>0</v>
      </c>
      <c r="J19" s="5">
        <f>COUNTIFS('Question Bank'!$B$2:$B$424,B19,'Question Bank'!$G$2:$G$424,"Basic")</f>
        <v>5</v>
      </c>
      <c r="K19" s="5">
        <f>COUNTIFS('Question Bank'!$B$2:$B$424,B19,'Question Bank'!$G$2:$G$424,"Core")</f>
        <v>0</v>
      </c>
      <c r="L19" s="5">
        <f>COUNTIFS('Question Bank'!$B$2:$B$424,B19,'Question Bank'!$G$2:$G$424,"Stretch")</f>
        <v>0</v>
      </c>
      <c r="M19" s="5">
        <f>COUNTIFS('Question Bank'!$B$2:$B$424,B19,'Question Bank'!$K$2:$K$424,"&lt;&gt;")</f>
        <v>0</v>
      </c>
      <c r="N19" s="7" t="str">
        <f>IFERROR(AVERAGEIF('Question Bank'!$B$2:$B$424,B19,'Question Bank'!$K$2:$K$424),"—")</f>
        <v>—</v>
      </c>
    </row>
    <row r="20" spans="1:14" x14ac:dyDescent="0.2">
      <c r="A20" s="5">
        <v>19</v>
      </c>
      <c r="B20" s="5" t="s">
        <v>80</v>
      </c>
      <c r="C20" s="6" t="s">
        <v>81</v>
      </c>
      <c r="D20" s="5" t="s">
        <v>44</v>
      </c>
      <c r="E20" s="5" t="s">
        <v>40</v>
      </c>
      <c r="F20" s="5" t="s">
        <v>41</v>
      </c>
      <c r="G20" s="5">
        <f>COUNTIF('Question Bank'!$B$2:$B$424,B20)</f>
        <v>15</v>
      </c>
      <c r="H20" s="5">
        <f>COUNTIFS('Question Bank'!$B$2:$B$424,B20,'Question Bank'!$C$2:$C$424,"L1 Matrix")</f>
        <v>5</v>
      </c>
      <c r="I20" s="5">
        <f>COUNTIFS('Question Bank'!$B$2:$B$424,B20,'Question Bank'!$C$2:$C$424,"JS D2 Growth")</f>
        <v>10</v>
      </c>
      <c r="J20" s="5">
        <f>COUNTIFS('Question Bank'!$B$2:$B$424,B20,'Question Bank'!$G$2:$G$424,"Basic")</f>
        <v>11</v>
      </c>
      <c r="K20" s="5">
        <f>COUNTIFS('Question Bank'!$B$2:$B$424,B20,'Question Bank'!$G$2:$G$424,"Core")</f>
        <v>4</v>
      </c>
      <c r="L20" s="5">
        <f>COUNTIFS('Question Bank'!$B$2:$B$424,B20,'Question Bank'!$G$2:$G$424,"Stretch")</f>
        <v>0</v>
      </c>
      <c r="M20" s="5">
        <f>COUNTIFS('Question Bank'!$B$2:$B$424,B20,'Question Bank'!$K$2:$K$424,"&lt;&gt;")</f>
        <v>0</v>
      </c>
      <c r="N20" s="7" t="str">
        <f>IFERROR(AVERAGEIF('Question Bank'!$B$2:$B$424,B20,'Question Bank'!$K$2:$K$424),"—")</f>
        <v>—</v>
      </c>
    </row>
    <row r="21" spans="1:14" x14ac:dyDescent="0.2">
      <c r="A21" s="5">
        <v>20</v>
      </c>
      <c r="B21" s="5" t="s">
        <v>82</v>
      </c>
      <c r="C21" s="6" t="s">
        <v>83</v>
      </c>
      <c r="D21" s="5" t="s">
        <v>44</v>
      </c>
      <c r="E21" s="5" t="s">
        <v>40</v>
      </c>
      <c r="F21" s="5" t="s">
        <v>41</v>
      </c>
      <c r="G21" s="5">
        <f>COUNTIF('Question Bank'!$B$2:$B$424,B21)</f>
        <v>7</v>
      </c>
      <c r="H21" s="5">
        <f>COUNTIFS('Question Bank'!$B$2:$B$424,B21,'Question Bank'!$C$2:$C$424,"L1 Matrix")</f>
        <v>7</v>
      </c>
      <c r="I21" s="5">
        <f>COUNTIFS('Question Bank'!$B$2:$B$424,B21,'Question Bank'!$C$2:$C$424,"JS D2 Growth")</f>
        <v>0</v>
      </c>
      <c r="J21" s="5">
        <f>COUNTIFS('Question Bank'!$B$2:$B$424,B21,'Question Bank'!$G$2:$G$424,"Basic")</f>
        <v>7</v>
      </c>
      <c r="K21" s="5">
        <f>COUNTIFS('Question Bank'!$B$2:$B$424,B21,'Question Bank'!$G$2:$G$424,"Core")</f>
        <v>0</v>
      </c>
      <c r="L21" s="5">
        <f>COUNTIFS('Question Bank'!$B$2:$B$424,B21,'Question Bank'!$G$2:$G$424,"Stretch")</f>
        <v>0</v>
      </c>
      <c r="M21" s="5">
        <f>COUNTIFS('Question Bank'!$B$2:$B$424,B21,'Question Bank'!$K$2:$K$424,"&lt;&gt;")</f>
        <v>0</v>
      </c>
      <c r="N21" s="7" t="str">
        <f>IFERROR(AVERAGEIF('Question Bank'!$B$2:$B$424,B21,'Question Bank'!$K$2:$K$424),"—")</f>
        <v>—</v>
      </c>
    </row>
    <row r="22" spans="1:14" x14ac:dyDescent="0.2">
      <c r="A22" s="5">
        <v>21</v>
      </c>
      <c r="B22" s="5" t="s">
        <v>84</v>
      </c>
      <c r="C22" s="6" t="s">
        <v>85</v>
      </c>
      <c r="D22" s="5" t="s">
        <v>44</v>
      </c>
      <c r="E22" s="5" t="s">
        <v>40</v>
      </c>
      <c r="F22" s="5" t="s">
        <v>41</v>
      </c>
      <c r="G22" s="5">
        <f>COUNTIF('Question Bank'!$B$2:$B$424,B22)</f>
        <v>5</v>
      </c>
      <c r="H22" s="5">
        <f>COUNTIFS('Question Bank'!$B$2:$B$424,B22,'Question Bank'!$C$2:$C$424,"L1 Matrix")</f>
        <v>5</v>
      </c>
      <c r="I22" s="5">
        <f>COUNTIFS('Question Bank'!$B$2:$B$424,B22,'Question Bank'!$C$2:$C$424,"JS D2 Growth")</f>
        <v>0</v>
      </c>
      <c r="J22" s="5">
        <f>COUNTIFS('Question Bank'!$B$2:$B$424,B22,'Question Bank'!$G$2:$G$424,"Basic")</f>
        <v>5</v>
      </c>
      <c r="K22" s="5">
        <f>COUNTIFS('Question Bank'!$B$2:$B$424,B22,'Question Bank'!$G$2:$G$424,"Core")</f>
        <v>0</v>
      </c>
      <c r="L22" s="5">
        <f>COUNTIFS('Question Bank'!$B$2:$B$424,B22,'Question Bank'!$G$2:$G$424,"Stretch")</f>
        <v>0</v>
      </c>
      <c r="M22" s="5">
        <f>COUNTIFS('Question Bank'!$B$2:$B$424,B22,'Question Bank'!$K$2:$K$424,"&lt;&gt;")</f>
        <v>0</v>
      </c>
      <c r="N22" s="7" t="str">
        <f>IFERROR(AVERAGEIF('Question Bank'!$B$2:$B$424,B22,'Question Bank'!$K$2:$K$424),"—")</f>
        <v>—</v>
      </c>
    </row>
    <row r="23" spans="1:14" x14ac:dyDescent="0.2">
      <c r="A23" s="5">
        <v>22</v>
      </c>
      <c r="B23" s="5" t="s">
        <v>86</v>
      </c>
      <c r="C23" s="6" t="s">
        <v>87</v>
      </c>
      <c r="D23" s="5" t="s">
        <v>44</v>
      </c>
      <c r="E23" s="5" t="s">
        <v>40</v>
      </c>
      <c r="F23" s="5" t="s">
        <v>41</v>
      </c>
      <c r="G23" s="5">
        <f>COUNTIF('Question Bank'!$B$2:$B$424,B23)</f>
        <v>5</v>
      </c>
      <c r="H23" s="5">
        <f>COUNTIFS('Question Bank'!$B$2:$B$424,B23,'Question Bank'!$C$2:$C$424,"L1 Matrix")</f>
        <v>5</v>
      </c>
      <c r="I23" s="5">
        <f>COUNTIFS('Question Bank'!$B$2:$B$424,B23,'Question Bank'!$C$2:$C$424,"JS D2 Growth")</f>
        <v>0</v>
      </c>
      <c r="J23" s="5">
        <f>COUNTIFS('Question Bank'!$B$2:$B$424,B23,'Question Bank'!$G$2:$G$424,"Basic")</f>
        <v>5</v>
      </c>
      <c r="K23" s="5">
        <f>COUNTIFS('Question Bank'!$B$2:$B$424,B23,'Question Bank'!$G$2:$G$424,"Core")</f>
        <v>0</v>
      </c>
      <c r="L23" s="5">
        <f>COUNTIFS('Question Bank'!$B$2:$B$424,B23,'Question Bank'!$G$2:$G$424,"Stretch")</f>
        <v>0</v>
      </c>
      <c r="M23" s="5">
        <f>COUNTIFS('Question Bank'!$B$2:$B$424,B23,'Question Bank'!$K$2:$K$424,"&lt;&gt;")</f>
        <v>0</v>
      </c>
      <c r="N23" s="7" t="str">
        <f>IFERROR(AVERAGEIF('Question Bank'!$B$2:$B$424,B23,'Question Bank'!$K$2:$K$424),"—")</f>
        <v>—</v>
      </c>
    </row>
    <row r="24" spans="1:14" x14ac:dyDescent="0.2">
      <c r="A24" s="5">
        <v>23</v>
      </c>
      <c r="B24" s="5" t="s">
        <v>88</v>
      </c>
      <c r="C24" s="6" t="s">
        <v>89</v>
      </c>
      <c r="D24" s="5" t="s">
        <v>44</v>
      </c>
      <c r="E24" s="5" t="s">
        <v>40</v>
      </c>
      <c r="F24" s="5" t="s">
        <v>41</v>
      </c>
      <c r="G24" s="5">
        <f>COUNTIF('Question Bank'!$B$2:$B$424,B24)</f>
        <v>6</v>
      </c>
      <c r="H24" s="5">
        <f>COUNTIFS('Question Bank'!$B$2:$B$424,B24,'Question Bank'!$C$2:$C$424,"L1 Matrix")</f>
        <v>6</v>
      </c>
      <c r="I24" s="5">
        <f>COUNTIFS('Question Bank'!$B$2:$B$424,B24,'Question Bank'!$C$2:$C$424,"JS D2 Growth")</f>
        <v>0</v>
      </c>
      <c r="J24" s="5">
        <f>COUNTIFS('Question Bank'!$B$2:$B$424,B24,'Question Bank'!$G$2:$G$424,"Basic")</f>
        <v>6</v>
      </c>
      <c r="K24" s="5">
        <f>COUNTIFS('Question Bank'!$B$2:$B$424,B24,'Question Bank'!$G$2:$G$424,"Core")</f>
        <v>0</v>
      </c>
      <c r="L24" s="5">
        <f>COUNTIFS('Question Bank'!$B$2:$B$424,B24,'Question Bank'!$G$2:$G$424,"Stretch")</f>
        <v>0</v>
      </c>
      <c r="M24" s="5">
        <f>COUNTIFS('Question Bank'!$B$2:$B$424,B24,'Question Bank'!$K$2:$K$424,"&lt;&gt;")</f>
        <v>0</v>
      </c>
      <c r="N24" s="7" t="str">
        <f>IFERROR(AVERAGEIF('Question Bank'!$B$2:$B$424,B24,'Question Bank'!$K$2:$K$424),"—")</f>
        <v>—</v>
      </c>
    </row>
    <row r="25" spans="1:14" x14ac:dyDescent="0.2">
      <c r="A25" s="5">
        <v>24</v>
      </c>
      <c r="B25" s="5" t="s">
        <v>90</v>
      </c>
      <c r="C25" s="6" t="s">
        <v>91</v>
      </c>
      <c r="D25" s="5" t="s">
        <v>44</v>
      </c>
      <c r="E25" s="5" t="s">
        <v>45</v>
      </c>
      <c r="F25" s="5" t="s">
        <v>41</v>
      </c>
      <c r="G25" s="5">
        <f>COUNTIF('Question Bank'!$B$2:$B$424,B25)</f>
        <v>30</v>
      </c>
      <c r="H25" s="5">
        <f>COUNTIFS('Question Bank'!$B$2:$B$424,B25,'Question Bank'!$C$2:$C$424,"L1 Matrix")</f>
        <v>3</v>
      </c>
      <c r="I25" s="5">
        <f>COUNTIFS('Question Bank'!$B$2:$B$424,B25,'Question Bank'!$C$2:$C$424,"JS D2 Growth")</f>
        <v>27</v>
      </c>
      <c r="J25" s="5">
        <f>COUNTIFS('Question Bank'!$B$2:$B$424,B25,'Question Bank'!$G$2:$G$424,"Basic")</f>
        <v>17</v>
      </c>
      <c r="K25" s="5">
        <f>COUNTIFS('Question Bank'!$B$2:$B$424,B25,'Question Bank'!$G$2:$G$424,"Core")</f>
        <v>10</v>
      </c>
      <c r="L25" s="5">
        <f>COUNTIFS('Question Bank'!$B$2:$B$424,B25,'Question Bank'!$G$2:$G$424,"Stretch")</f>
        <v>3</v>
      </c>
      <c r="M25" s="5">
        <f>COUNTIFS('Question Bank'!$B$2:$B$424,B25,'Question Bank'!$K$2:$K$424,"&lt;&gt;")</f>
        <v>0</v>
      </c>
      <c r="N25" s="7" t="str">
        <f>IFERROR(AVERAGEIF('Question Bank'!$B$2:$B$424,B25,'Question Bank'!$K$2:$K$424),"—")</f>
        <v>—</v>
      </c>
    </row>
    <row r="26" spans="1:14" x14ac:dyDescent="0.2">
      <c r="A26" s="5">
        <v>25</v>
      </c>
      <c r="B26" s="5" t="s">
        <v>92</v>
      </c>
      <c r="C26" s="6" t="s">
        <v>93</v>
      </c>
      <c r="D26" s="5" t="s">
        <v>44</v>
      </c>
      <c r="E26" s="5" t="s">
        <v>45</v>
      </c>
      <c r="F26" s="5" t="s">
        <v>41</v>
      </c>
      <c r="G26" s="5">
        <f>COUNTIF('Question Bank'!$B$2:$B$424,B26)</f>
        <v>3</v>
      </c>
      <c r="H26" s="5">
        <f>COUNTIFS('Question Bank'!$B$2:$B$424,B26,'Question Bank'!$C$2:$C$424,"L1 Matrix")</f>
        <v>3</v>
      </c>
      <c r="I26" s="5">
        <f>COUNTIFS('Question Bank'!$B$2:$B$424,B26,'Question Bank'!$C$2:$C$424,"JS D2 Growth")</f>
        <v>0</v>
      </c>
      <c r="J26" s="5">
        <f>COUNTIFS('Question Bank'!$B$2:$B$424,B26,'Question Bank'!$G$2:$G$424,"Basic")</f>
        <v>3</v>
      </c>
      <c r="K26" s="5">
        <f>COUNTIFS('Question Bank'!$B$2:$B$424,B26,'Question Bank'!$G$2:$G$424,"Core")</f>
        <v>0</v>
      </c>
      <c r="L26" s="5">
        <f>COUNTIFS('Question Bank'!$B$2:$B$424,B26,'Question Bank'!$G$2:$G$424,"Stretch")</f>
        <v>0</v>
      </c>
      <c r="M26" s="5">
        <f>COUNTIFS('Question Bank'!$B$2:$B$424,B26,'Question Bank'!$K$2:$K$424,"&lt;&gt;")</f>
        <v>0</v>
      </c>
      <c r="N26" s="7" t="str">
        <f>IFERROR(AVERAGEIF('Question Bank'!$B$2:$B$424,B26,'Question Bank'!$K$2:$K$424),"—")</f>
        <v>—</v>
      </c>
    </row>
    <row r="27" spans="1:14" x14ac:dyDescent="0.2">
      <c r="A27" s="8">
        <v>26</v>
      </c>
      <c r="B27" s="8" t="s">
        <v>94</v>
      </c>
      <c r="C27" s="9" t="s">
        <v>95</v>
      </c>
      <c r="D27" s="8" t="s">
        <v>96</v>
      </c>
      <c r="E27" s="8" t="s">
        <v>45</v>
      </c>
      <c r="F27" s="8" t="s">
        <v>97</v>
      </c>
      <c r="G27" s="8">
        <f>COUNTIF('Question Bank'!$B$2:$B$424,B27)</f>
        <v>0</v>
      </c>
      <c r="H27" s="8">
        <f>COUNTIFS('Question Bank'!$B$2:$B$424,B27,'Question Bank'!$C$2:$C$424,"L1 Matrix")</f>
        <v>0</v>
      </c>
      <c r="I27" s="8">
        <f>COUNTIFS('Question Bank'!$B$2:$B$424,B27,'Question Bank'!$C$2:$C$424,"JS D2 Growth")</f>
        <v>0</v>
      </c>
      <c r="J27" s="8">
        <f>COUNTIFS('Question Bank'!$B$2:$B$424,B27,'Question Bank'!$G$2:$G$424,"Basic")</f>
        <v>0</v>
      </c>
      <c r="K27" s="8">
        <f>COUNTIFS('Question Bank'!$B$2:$B$424,B27,'Question Bank'!$G$2:$G$424,"Core")</f>
        <v>0</v>
      </c>
      <c r="L27" s="8">
        <f>COUNTIFS('Question Bank'!$B$2:$B$424,B27,'Question Bank'!$G$2:$G$424,"Stretch")</f>
        <v>0</v>
      </c>
      <c r="M27" s="8">
        <f>COUNTIFS('Question Bank'!$B$2:$B$424,B27,'Question Bank'!$K$2:$K$424,"&lt;&gt;")</f>
        <v>0</v>
      </c>
      <c r="N27" s="10" t="str">
        <f>IFERROR(AVERAGEIF('Question Bank'!$B$2:$B$424,B27,'Question Bank'!$K$2:$K$424),"—")</f>
        <v>—</v>
      </c>
    </row>
    <row r="28" spans="1:14" x14ac:dyDescent="0.2">
      <c r="A28" s="8">
        <v>27</v>
      </c>
      <c r="B28" s="8" t="s">
        <v>98</v>
      </c>
      <c r="C28" s="9" t="s">
        <v>99</v>
      </c>
      <c r="D28" s="8" t="s">
        <v>96</v>
      </c>
      <c r="E28" s="8" t="s">
        <v>100</v>
      </c>
      <c r="F28" s="8" t="s">
        <v>97</v>
      </c>
      <c r="G28" s="8">
        <f>COUNTIF('Question Bank'!$B$2:$B$424,B28)</f>
        <v>0</v>
      </c>
      <c r="H28" s="8">
        <f>COUNTIFS('Question Bank'!$B$2:$B$424,B28,'Question Bank'!$C$2:$C$424,"L1 Matrix")</f>
        <v>0</v>
      </c>
      <c r="I28" s="8">
        <f>COUNTIFS('Question Bank'!$B$2:$B$424,B28,'Question Bank'!$C$2:$C$424,"JS D2 Growth")</f>
        <v>0</v>
      </c>
      <c r="J28" s="8">
        <f>COUNTIFS('Question Bank'!$B$2:$B$424,B28,'Question Bank'!$G$2:$G$424,"Basic")</f>
        <v>0</v>
      </c>
      <c r="K28" s="8">
        <f>COUNTIFS('Question Bank'!$B$2:$B$424,B28,'Question Bank'!$G$2:$G$424,"Core")</f>
        <v>0</v>
      </c>
      <c r="L28" s="8">
        <f>COUNTIFS('Question Bank'!$B$2:$B$424,B28,'Question Bank'!$G$2:$G$424,"Stretch")</f>
        <v>0</v>
      </c>
      <c r="M28" s="8">
        <f>COUNTIFS('Question Bank'!$B$2:$B$424,B28,'Question Bank'!$K$2:$K$424,"&lt;&gt;")</f>
        <v>0</v>
      </c>
      <c r="N28" s="10" t="str">
        <f>IFERROR(AVERAGEIF('Question Bank'!$B$2:$B$424,B28,'Question Bank'!$K$2:$K$424),"—")</f>
        <v>—</v>
      </c>
    </row>
    <row r="29" spans="1:14" x14ac:dyDescent="0.2">
      <c r="A29" s="8">
        <v>28</v>
      </c>
      <c r="B29" s="8" t="s">
        <v>101</v>
      </c>
      <c r="C29" s="9" t="s">
        <v>102</v>
      </c>
      <c r="D29" s="8" t="s">
        <v>96</v>
      </c>
      <c r="E29" s="8" t="s">
        <v>100</v>
      </c>
      <c r="F29" s="8" t="s">
        <v>97</v>
      </c>
      <c r="G29" s="8">
        <f>COUNTIF('Question Bank'!$B$2:$B$424,B29)</f>
        <v>0</v>
      </c>
      <c r="H29" s="8">
        <f>COUNTIFS('Question Bank'!$B$2:$B$424,B29,'Question Bank'!$C$2:$C$424,"L1 Matrix")</f>
        <v>0</v>
      </c>
      <c r="I29" s="8">
        <f>COUNTIFS('Question Bank'!$B$2:$B$424,B29,'Question Bank'!$C$2:$C$424,"JS D2 Growth")</f>
        <v>0</v>
      </c>
      <c r="J29" s="8">
        <f>COUNTIFS('Question Bank'!$B$2:$B$424,B29,'Question Bank'!$G$2:$G$424,"Basic")</f>
        <v>0</v>
      </c>
      <c r="K29" s="8">
        <f>COUNTIFS('Question Bank'!$B$2:$B$424,B29,'Question Bank'!$G$2:$G$424,"Core")</f>
        <v>0</v>
      </c>
      <c r="L29" s="8">
        <f>COUNTIFS('Question Bank'!$B$2:$B$424,B29,'Question Bank'!$G$2:$G$424,"Stretch")</f>
        <v>0</v>
      </c>
      <c r="M29" s="8">
        <f>COUNTIFS('Question Bank'!$B$2:$B$424,B29,'Question Bank'!$K$2:$K$424,"&lt;&gt;")</f>
        <v>0</v>
      </c>
      <c r="N29" s="10" t="str">
        <f>IFERROR(AVERAGEIF('Question Bank'!$B$2:$B$424,B29,'Question Bank'!$K$2:$K$424),"—")</f>
        <v>—</v>
      </c>
    </row>
    <row r="30" spans="1:14" x14ac:dyDescent="0.2">
      <c r="A30" s="8">
        <v>29</v>
      </c>
      <c r="B30" s="8" t="s">
        <v>103</v>
      </c>
      <c r="C30" s="9" t="s">
        <v>104</v>
      </c>
      <c r="D30" s="8" t="s">
        <v>96</v>
      </c>
      <c r="E30" s="8" t="s">
        <v>40</v>
      </c>
      <c r="F30" s="8" t="s">
        <v>97</v>
      </c>
      <c r="G30" s="8">
        <f>COUNTIF('Question Bank'!$B$2:$B$424,B30)</f>
        <v>0</v>
      </c>
      <c r="H30" s="8">
        <f>COUNTIFS('Question Bank'!$B$2:$B$424,B30,'Question Bank'!$C$2:$C$424,"L1 Matrix")</f>
        <v>0</v>
      </c>
      <c r="I30" s="8">
        <f>COUNTIFS('Question Bank'!$B$2:$B$424,B30,'Question Bank'!$C$2:$C$424,"JS D2 Growth")</f>
        <v>0</v>
      </c>
      <c r="J30" s="8">
        <f>COUNTIFS('Question Bank'!$B$2:$B$424,B30,'Question Bank'!$G$2:$G$424,"Basic")</f>
        <v>0</v>
      </c>
      <c r="K30" s="8">
        <f>COUNTIFS('Question Bank'!$B$2:$B$424,B30,'Question Bank'!$G$2:$G$424,"Core")</f>
        <v>0</v>
      </c>
      <c r="L30" s="8">
        <f>COUNTIFS('Question Bank'!$B$2:$B$424,B30,'Question Bank'!$G$2:$G$424,"Stretch")</f>
        <v>0</v>
      </c>
      <c r="M30" s="8">
        <f>COUNTIFS('Question Bank'!$B$2:$B$424,B30,'Question Bank'!$K$2:$K$424,"&lt;&gt;")</f>
        <v>0</v>
      </c>
      <c r="N30" s="10" t="str">
        <f>IFERROR(AVERAGEIF('Question Bank'!$B$2:$B$424,B30,'Question Bank'!$K$2:$K$424),"—")</f>
        <v>—</v>
      </c>
    </row>
    <row r="31" spans="1:14" x14ac:dyDescent="0.2">
      <c r="A31" s="8">
        <v>30</v>
      </c>
      <c r="B31" s="8" t="s">
        <v>105</v>
      </c>
      <c r="C31" s="9" t="s">
        <v>106</v>
      </c>
      <c r="D31" s="8" t="s">
        <v>96</v>
      </c>
      <c r="E31" s="8" t="s">
        <v>40</v>
      </c>
      <c r="F31" s="8" t="s">
        <v>97</v>
      </c>
      <c r="G31" s="8">
        <f>COUNTIF('Question Bank'!$B$2:$B$424,B31)</f>
        <v>0</v>
      </c>
      <c r="H31" s="8">
        <f>COUNTIFS('Question Bank'!$B$2:$B$424,B31,'Question Bank'!$C$2:$C$424,"L1 Matrix")</f>
        <v>0</v>
      </c>
      <c r="I31" s="8">
        <f>COUNTIFS('Question Bank'!$B$2:$B$424,B31,'Question Bank'!$C$2:$C$424,"JS D2 Growth")</f>
        <v>0</v>
      </c>
      <c r="J31" s="8">
        <f>COUNTIFS('Question Bank'!$B$2:$B$424,B31,'Question Bank'!$G$2:$G$424,"Basic")</f>
        <v>0</v>
      </c>
      <c r="K31" s="8">
        <f>COUNTIFS('Question Bank'!$B$2:$B$424,B31,'Question Bank'!$G$2:$G$424,"Core")</f>
        <v>0</v>
      </c>
      <c r="L31" s="8">
        <f>COUNTIFS('Question Bank'!$B$2:$B$424,B31,'Question Bank'!$G$2:$G$424,"Stretch")</f>
        <v>0</v>
      </c>
      <c r="M31" s="8">
        <f>COUNTIFS('Question Bank'!$B$2:$B$424,B31,'Question Bank'!$K$2:$K$424,"&lt;&gt;")</f>
        <v>0</v>
      </c>
      <c r="N31" s="10" t="str">
        <f>IFERROR(AVERAGEIF('Question Bank'!$B$2:$B$424,B31,'Question Bank'!$K$2:$K$424),"—")</f>
        <v>—</v>
      </c>
    </row>
    <row r="32" spans="1:14" x14ac:dyDescent="0.2">
      <c r="A32" s="8">
        <v>31</v>
      </c>
      <c r="B32" s="8" t="s">
        <v>107</v>
      </c>
      <c r="C32" s="9" t="s">
        <v>108</v>
      </c>
      <c r="D32" s="8" t="s">
        <v>96</v>
      </c>
      <c r="E32" s="8" t="s">
        <v>100</v>
      </c>
      <c r="F32" s="8" t="s">
        <v>97</v>
      </c>
      <c r="G32" s="8">
        <f>COUNTIF('Question Bank'!$B$2:$B$424,B32)</f>
        <v>0</v>
      </c>
      <c r="H32" s="8">
        <f>COUNTIFS('Question Bank'!$B$2:$B$424,B32,'Question Bank'!$C$2:$C$424,"L1 Matrix")</f>
        <v>0</v>
      </c>
      <c r="I32" s="8">
        <f>COUNTIFS('Question Bank'!$B$2:$B$424,B32,'Question Bank'!$C$2:$C$424,"JS D2 Growth")</f>
        <v>0</v>
      </c>
      <c r="J32" s="8">
        <f>COUNTIFS('Question Bank'!$B$2:$B$424,B32,'Question Bank'!$G$2:$G$424,"Basic")</f>
        <v>0</v>
      </c>
      <c r="K32" s="8">
        <f>COUNTIFS('Question Bank'!$B$2:$B$424,B32,'Question Bank'!$G$2:$G$424,"Core")</f>
        <v>0</v>
      </c>
      <c r="L32" s="8">
        <f>COUNTIFS('Question Bank'!$B$2:$B$424,B32,'Question Bank'!$G$2:$G$424,"Stretch")</f>
        <v>0</v>
      </c>
      <c r="M32" s="8">
        <f>COUNTIFS('Question Bank'!$B$2:$B$424,B32,'Question Bank'!$K$2:$K$424,"&lt;&gt;")</f>
        <v>0</v>
      </c>
      <c r="N32" s="10" t="str">
        <f>IFERROR(AVERAGEIF('Question Bank'!$B$2:$B$424,B32,'Question Bank'!$K$2:$K$424),"—")</f>
        <v>—</v>
      </c>
    </row>
    <row r="33" spans="1:14" x14ac:dyDescent="0.2">
      <c r="A33" s="8">
        <v>32</v>
      </c>
      <c r="B33" s="8" t="s">
        <v>109</v>
      </c>
      <c r="C33" s="9" t="s">
        <v>110</v>
      </c>
      <c r="D33" s="8" t="s">
        <v>96</v>
      </c>
      <c r="E33" s="8" t="s">
        <v>40</v>
      </c>
      <c r="F33" s="8" t="s">
        <v>97</v>
      </c>
      <c r="G33" s="8">
        <f>COUNTIF('Question Bank'!$B$2:$B$424,B33)</f>
        <v>12</v>
      </c>
      <c r="H33" s="8">
        <f>COUNTIFS('Question Bank'!$B$2:$B$424,B33,'Question Bank'!$C$2:$C$424,"L1 Matrix")</f>
        <v>0</v>
      </c>
      <c r="I33" s="8">
        <f>COUNTIFS('Question Bank'!$B$2:$B$424,B33,'Question Bank'!$C$2:$C$424,"JS D2 Growth")</f>
        <v>12</v>
      </c>
      <c r="J33" s="8">
        <f>COUNTIFS('Question Bank'!$B$2:$B$424,B33,'Question Bank'!$G$2:$G$424,"Basic")</f>
        <v>2</v>
      </c>
      <c r="K33" s="8">
        <f>COUNTIFS('Question Bank'!$B$2:$B$424,B33,'Question Bank'!$G$2:$G$424,"Core")</f>
        <v>8</v>
      </c>
      <c r="L33" s="8">
        <f>COUNTIFS('Question Bank'!$B$2:$B$424,B33,'Question Bank'!$G$2:$G$424,"Stretch")</f>
        <v>2</v>
      </c>
      <c r="M33" s="8">
        <f>COUNTIFS('Question Bank'!$B$2:$B$424,B33,'Question Bank'!$K$2:$K$424,"&lt;&gt;")</f>
        <v>0</v>
      </c>
      <c r="N33" s="10" t="str">
        <f>IFERROR(AVERAGEIF('Question Bank'!$B$2:$B$424,B33,'Question Bank'!$K$2:$K$424),"—")</f>
        <v>—</v>
      </c>
    </row>
    <row r="34" spans="1:14" x14ac:dyDescent="0.2">
      <c r="A34" s="8">
        <v>33</v>
      </c>
      <c r="B34" s="8" t="s">
        <v>111</v>
      </c>
      <c r="C34" s="9" t="s">
        <v>112</v>
      </c>
      <c r="D34" s="8" t="s">
        <v>96</v>
      </c>
      <c r="E34" s="8" t="s">
        <v>40</v>
      </c>
      <c r="F34" s="8" t="s">
        <v>97</v>
      </c>
      <c r="G34" s="8">
        <f>COUNTIF('Question Bank'!$B$2:$B$424,B34)</f>
        <v>0</v>
      </c>
      <c r="H34" s="8">
        <f>COUNTIFS('Question Bank'!$B$2:$B$424,B34,'Question Bank'!$C$2:$C$424,"L1 Matrix")</f>
        <v>0</v>
      </c>
      <c r="I34" s="8">
        <f>COUNTIFS('Question Bank'!$B$2:$B$424,B34,'Question Bank'!$C$2:$C$424,"JS D2 Growth")</f>
        <v>0</v>
      </c>
      <c r="J34" s="8">
        <f>COUNTIFS('Question Bank'!$B$2:$B$424,B34,'Question Bank'!$G$2:$G$424,"Basic")</f>
        <v>0</v>
      </c>
      <c r="K34" s="8">
        <f>COUNTIFS('Question Bank'!$B$2:$B$424,B34,'Question Bank'!$G$2:$G$424,"Core")</f>
        <v>0</v>
      </c>
      <c r="L34" s="8">
        <f>COUNTIFS('Question Bank'!$B$2:$B$424,B34,'Question Bank'!$G$2:$G$424,"Stretch")</f>
        <v>0</v>
      </c>
      <c r="M34" s="8">
        <f>COUNTIFS('Question Bank'!$B$2:$B$424,B34,'Question Bank'!$K$2:$K$424,"&lt;&gt;")</f>
        <v>0</v>
      </c>
      <c r="N34" s="10" t="str">
        <f>IFERROR(AVERAGEIF('Question Bank'!$B$2:$B$424,B34,'Question Bank'!$K$2:$K$424),"—")</f>
        <v>—</v>
      </c>
    </row>
    <row r="35" spans="1:14" x14ac:dyDescent="0.2">
      <c r="B35" s="11" t="s">
        <v>113</v>
      </c>
      <c r="G35" s="11">
        <f t="shared" ref="G35:M35" si="0">SUM(G2:G34)</f>
        <v>423</v>
      </c>
      <c r="H35" s="11">
        <f t="shared" si="0"/>
        <v>194</v>
      </c>
      <c r="I35" s="11">
        <f t="shared" si="0"/>
        <v>229</v>
      </c>
      <c r="J35" s="11">
        <f t="shared" si="0"/>
        <v>210</v>
      </c>
      <c r="K35" s="11">
        <f t="shared" si="0"/>
        <v>191</v>
      </c>
      <c r="L35" s="11">
        <f t="shared" si="0"/>
        <v>22</v>
      </c>
      <c r="M35" s="11">
        <f t="shared" si="0"/>
        <v>0</v>
      </c>
      <c r="N35" s="12" t="str">
        <f>IFERROR(AVERAGE('Question Bank'!$K$2:$K$424),"—")</f>
        <v>—</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4"/>
  <sheetViews>
    <sheetView tabSelected="1" zoomScaleNormal="100" workbookViewId="0">
      <pane xSplit="2" ySplit="1" topLeftCell="C405"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7" customWidth="1"/>
    <col min="2" max="2" width="22" customWidth="1"/>
    <col min="3" max="3" width="13" customWidth="1"/>
    <col min="4" max="4" width="14" customWidth="1"/>
    <col min="5" max="5" width="22" customWidth="1"/>
    <col min="6" max="7" width="10" customWidth="1"/>
    <col min="8" max="8" width="50" customWidth="1"/>
    <col min="9" max="9" width="60" customWidth="1"/>
    <col min="10" max="10" width="34" customWidth="1"/>
    <col min="11" max="11" width="10" customWidth="1"/>
    <col min="12" max="12" width="28" customWidth="1"/>
  </cols>
  <sheetData>
    <row r="1" spans="1:12" ht="30" x14ac:dyDescent="0.2">
      <c r="A1" s="4" t="s">
        <v>114</v>
      </c>
      <c r="B1" s="4" t="s">
        <v>24</v>
      </c>
      <c r="C1" s="4" t="s">
        <v>115</v>
      </c>
      <c r="D1" s="4" t="s">
        <v>116</v>
      </c>
      <c r="E1" s="4" t="s">
        <v>117</v>
      </c>
      <c r="F1" s="4" t="s">
        <v>18</v>
      </c>
      <c r="G1" s="4" t="s">
        <v>14</v>
      </c>
      <c r="H1" s="4" t="s">
        <v>118</v>
      </c>
      <c r="I1" s="4" t="s">
        <v>119</v>
      </c>
      <c r="J1" s="4" t="s">
        <v>120</v>
      </c>
      <c r="K1" s="4" t="s">
        <v>121</v>
      </c>
      <c r="L1" s="4" t="s">
        <v>122</v>
      </c>
    </row>
    <row r="2" spans="1:12" ht="28" x14ac:dyDescent="0.2">
      <c r="A2" s="13" t="s">
        <v>123</v>
      </c>
      <c r="B2" s="13" t="s">
        <v>37</v>
      </c>
      <c r="C2" s="13" t="s">
        <v>124</v>
      </c>
      <c r="D2" s="13" t="s">
        <v>39</v>
      </c>
      <c r="E2" s="13" t="s">
        <v>125</v>
      </c>
      <c r="F2" s="13" t="s">
        <v>126</v>
      </c>
      <c r="G2" s="13" t="s">
        <v>32</v>
      </c>
      <c r="H2" s="13" t="s">
        <v>127</v>
      </c>
      <c r="I2" s="13" t="s">
        <v>128</v>
      </c>
      <c r="J2" s="13" t="s">
        <v>129</v>
      </c>
      <c r="K2" s="14"/>
      <c r="L2" s="14"/>
    </row>
    <row r="3" spans="1:12" ht="42" x14ac:dyDescent="0.2">
      <c r="A3" s="13" t="s">
        <v>130</v>
      </c>
      <c r="B3" s="13" t="s">
        <v>37</v>
      </c>
      <c r="C3" s="13" t="s">
        <v>124</v>
      </c>
      <c r="D3" s="13" t="s">
        <v>39</v>
      </c>
      <c r="E3" s="13" t="s">
        <v>131</v>
      </c>
      <c r="F3" s="13" t="s">
        <v>126</v>
      </c>
      <c r="G3" s="13" t="s">
        <v>32</v>
      </c>
      <c r="H3" s="13" t="s">
        <v>132</v>
      </c>
      <c r="I3" s="13" t="s">
        <v>133</v>
      </c>
      <c r="J3" s="13" t="s">
        <v>134</v>
      </c>
      <c r="K3" s="14"/>
      <c r="L3" s="14"/>
    </row>
    <row r="4" spans="1:12" ht="42" x14ac:dyDescent="0.2">
      <c r="A4" s="13" t="s">
        <v>135</v>
      </c>
      <c r="B4" s="13" t="s">
        <v>37</v>
      </c>
      <c r="C4" s="13" t="s">
        <v>124</v>
      </c>
      <c r="D4" s="13" t="s">
        <v>39</v>
      </c>
      <c r="E4" s="13" t="s">
        <v>136</v>
      </c>
      <c r="F4" s="13" t="s">
        <v>126</v>
      </c>
      <c r="G4" s="13" t="s">
        <v>33</v>
      </c>
      <c r="H4" s="13" t="s">
        <v>137</v>
      </c>
      <c r="I4" s="13" t="s">
        <v>138</v>
      </c>
      <c r="J4" s="13" t="s">
        <v>139</v>
      </c>
      <c r="K4" s="14"/>
      <c r="L4" s="14"/>
    </row>
    <row r="5" spans="1:12" ht="28" x14ac:dyDescent="0.2">
      <c r="A5" s="13" t="s">
        <v>140</v>
      </c>
      <c r="B5" s="13" t="s">
        <v>37</v>
      </c>
      <c r="C5" s="13" t="s">
        <v>124</v>
      </c>
      <c r="D5" s="13" t="s">
        <v>39</v>
      </c>
      <c r="E5" s="13" t="s">
        <v>141</v>
      </c>
      <c r="F5" s="13" t="s">
        <v>126</v>
      </c>
      <c r="G5" s="13" t="s">
        <v>33</v>
      </c>
      <c r="H5" s="13" t="s">
        <v>142</v>
      </c>
      <c r="I5" s="13" t="s">
        <v>143</v>
      </c>
      <c r="J5" s="13"/>
      <c r="K5" s="14"/>
      <c r="L5" s="14"/>
    </row>
    <row r="6" spans="1:12" ht="42" x14ac:dyDescent="0.2">
      <c r="A6" s="13" t="s">
        <v>144</v>
      </c>
      <c r="B6" s="13" t="s">
        <v>37</v>
      </c>
      <c r="C6" s="13" t="s">
        <v>124</v>
      </c>
      <c r="D6" s="13" t="s">
        <v>39</v>
      </c>
      <c r="E6" s="13" t="s">
        <v>141</v>
      </c>
      <c r="F6" s="13" t="s">
        <v>126</v>
      </c>
      <c r="G6" s="13" t="s">
        <v>33</v>
      </c>
      <c r="H6" s="13" t="s">
        <v>145</v>
      </c>
      <c r="I6" s="13" t="s">
        <v>146</v>
      </c>
      <c r="J6" s="13" t="s">
        <v>147</v>
      </c>
      <c r="K6" s="14"/>
      <c r="L6" s="14"/>
    </row>
    <row r="7" spans="1:12" ht="42" x14ac:dyDescent="0.2">
      <c r="A7" s="13" t="s">
        <v>148</v>
      </c>
      <c r="B7" s="13" t="s">
        <v>37</v>
      </c>
      <c r="C7" s="13" t="s">
        <v>124</v>
      </c>
      <c r="D7" s="13" t="s">
        <v>39</v>
      </c>
      <c r="E7" s="13" t="s">
        <v>141</v>
      </c>
      <c r="F7" s="13" t="s">
        <v>126</v>
      </c>
      <c r="G7" s="13" t="s">
        <v>32</v>
      </c>
      <c r="H7" s="13" t="s">
        <v>149</v>
      </c>
      <c r="I7" s="13" t="s">
        <v>150</v>
      </c>
      <c r="J7" s="13"/>
      <c r="K7" s="14"/>
      <c r="L7" s="14"/>
    </row>
    <row r="8" spans="1:12" ht="28" x14ac:dyDescent="0.2">
      <c r="A8" s="13" t="s">
        <v>151</v>
      </c>
      <c r="B8" s="13" t="s">
        <v>37</v>
      </c>
      <c r="C8" s="13" t="s">
        <v>124</v>
      </c>
      <c r="D8" s="13" t="s">
        <v>39</v>
      </c>
      <c r="E8" s="13" t="s">
        <v>152</v>
      </c>
      <c r="F8" s="13" t="s">
        <v>153</v>
      </c>
      <c r="G8" s="13" t="s">
        <v>33</v>
      </c>
      <c r="H8" s="13" t="s">
        <v>154</v>
      </c>
      <c r="I8" s="13" t="s">
        <v>155</v>
      </c>
      <c r="J8" s="13" t="s">
        <v>156</v>
      </c>
      <c r="K8" s="14"/>
      <c r="L8" s="14"/>
    </row>
    <row r="9" spans="1:12" ht="28" x14ac:dyDescent="0.2">
      <c r="A9" s="13" t="s">
        <v>157</v>
      </c>
      <c r="B9" s="13" t="s">
        <v>37</v>
      </c>
      <c r="C9" s="13" t="s">
        <v>124</v>
      </c>
      <c r="D9" s="13" t="s">
        <v>39</v>
      </c>
      <c r="E9" s="13" t="s">
        <v>152</v>
      </c>
      <c r="F9" s="13" t="s">
        <v>126</v>
      </c>
      <c r="G9" s="13" t="s">
        <v>33</v>
      </c>
      <c r="H9" s="13" t="s">
        <v>158</v>
      </c>
      <c r="I9" s="13" t="s">
        <v>159</v>
      </c>
      <c r="J9" s="13"/>
      <c r="K9" s="14"/>
      <c r="L9" s="14"/>
    </row>
    <row r="10" spans="1:12" ht="28" x14ac:dyDescent="0.2">
      <c r="A10" s="13" t="s">
        <v>160</v>
      </c>
      <c r="B10" s="13" t="s">
        <v>37</v>
      </c>
      <c r="C10" s="13" t="s">
        <v>124</v>
      </c>
      <c r="D10" s="13" t="s">
        <v>39</v>
      </c>
      <c r="E10" s="13" t="s">
        <v>161</v>
      </c>
      <c r="F10" s="13" t="s">
        <v>126</v>
      </c>
      <c r="G10" s="13" t="s">
        <v>32</v>
      </c>
      <c r="H10" s="13" t="s">
        <v>162</v>
      </c>
      <c r="I10" s="13" t="s">
        <v>163</v>
      </c>
      <c r="J10" s="13"/>
      <c r="K10" s="14"/>
      <c r="L10" s="14"/>
    </row>
    <row r="11" spans="1:12" ht="42" x14ac:dyDescent="0.2">
      <c r="A11" s="13" t="s">
        <v>164</v>
      </c>
      <c r="B11" s="13" t="s">
        <v>37</v>
      </c>
      <c r="C11" s="13" t="s">
        <v>124</v>
      </c>
      <c r="D11" s="13" t="s">
        <v>39</v>
      </c>
      <c r="E11" s="13" t="s">
        <v>165</v>
      </c>
      <c r="F11" s="13" t="s">
        <v>126</v>
      </c>
      <c r="G11" s="13" t="s">
        <v>32</v>
      </c>
      <c r="H11" s="13" t="s">
        <v>166</v>
      </c>
      <c r="I11" s="13" t="s">
        <v>167</v>
      </c>
      <c r="J11" s="13"/>
      <c r="K11" s="14"/>
      <c r="L11" s="14"/>
    </row>
    <row r="12" spans="1:12" ht="28" x14ac:dyDescent="0.2">
      <c r="A12" s="13" t="s">
        <v>168</v>
      </c>
      <c r="B12" s="13" t="s">
        <v>37</v>
      </c>
      <c r="C12" s="13" t="s">
        <v>169</v>
      </c>
      <c r="D12" s="13" t="s">
        <v>39</v>
      </c>
      <c r="E12" s="13" t="s">
        <v>170</v>
      </c>
      <c r="F12" s="13" t="s">
        <v>126</v>
      </c>
      <c r="G12" s="13" t="s">
        <v>32</v>
      </c>
      <c r="H12" s="13" t="s">
        <v>171</v>
      </c>
      <c r="I12" s="13" t="s">
        <v>172</v>
      </c>
      <c r="J12" s="13"/>
      <c r="K12" s="14"/>
      <c r="L12" s="14"/>
    </row>
    <row r="13" spans="1:12" ht="28" x14ac:dyDescent="0.2">
      <c r="A13" s="13" t="s">
        <v>173</v>
      </c>
      <c r="B13" s="13" t="s">
        <v>37</v>
      </c>
      <c r="C13" s="13" t="s">
        <v>169</v>
      </c>
      <c r="D13" s="13" t="s">
        <v>39</v>
      </c>
      <c r="E13" s="13" t="s">
        <v>174</v>
      </c>
      <c r="F13" s="13" t="s">
        <v>153</v>
      </c>
      <c r="G13" s="13" t="s">
        <v>32</v>
      </c>
      <c r="H13" s="13" t="s">
        <v>175</v>
      </c>
      <c r="I13" s="13" t="s">
        <v>176</v>
      </c>
      <c r="J13" s="13"/>
      <c r="K13" s="14"/>
      <c r="L13" s="14"/>
    </row>
    <row r="14" spans="1:12" ht="42" x14ac:dyDescent="0.2">
      <c r="A14" s="13" t="s">
        <v>177</v>
      </c>
      <c r="B14" s="13" t="s">
        <v>37</v>
      </c>
      <c r="C14" s="13" t="s">
        <v>169</v>
      </c>
      <c r="D14" s="13" t="s">
        <v>39</v>
      </c>
      <c r="E14" s="13" t="s">
        <v>178</v>
      </c>
      <c r="F14" s="13" t="s">
        <v>126</v>
      </c>
      <c r="G14" s="13" t="s">
        <v>33</v>
      </c>
      <c r="H14" s="13" t="s">
        <v>179</v>
      </c>
      <c r="I14" s="13" t="s">
        <v>180</v>
      </c>
      <c r="J14" s="13"/>
      <c r="K14" s="14"/>
      <c r="L14" s="14"/>
    </row>
    <row r="15" spans="1:12" ht="28" x14ac:dyDescent="0.2">
      <c r="A15" s="13" t="s">
        <v>181</v>
      </c>
      <c r="B15" s="13" t="s">
        <v>37</v>
      </c>
      <c r="C15" s="13" t="s">
        <v>169</v>
      </c>
      <c r="D15" s="13" t="s">
        <v>39</v>
      </c>
      <c r="E15" s="13" t="s">
        <v>182</v>
      </c>
      <c r="F15" s="13" t="s">
        <v>183</v>
      </c>
      <c r="G15" s="13" t="s">
        <v>32</v>
      </c>
      <c r="H15" s="13" t="s">
        <v>184</v>
      </c>
      <c r="I15" s="13" t="s">
        <v>185</v>
      </c>
      <c r="J15" s="13"/>
      <c r="K15" s="14"/>
      <c r="L15" s="14"/>
    </row>
    <row r="16" spans="1:12" ht="42" x14ac:dyDescent="0.2">
      <c r="A16" s="13" t="s">
        <v>186</v>
      </c>
      <c r="B16" s="13" t="s">
        <v>37</v>
      </c>
      <c r="C16" s="13" t="s">
        <v>169</v>
      </c>
      <c r="D16" s="13" t="s">
        <v>39</v>
      </c>
      <c r="E16" s="13" t="s">
        <v>187</v>
      </c>
      <c r="F16" s="13" t="s">
        <v>126</v>
      </c>
      <c r="G16" s="13" t="s">
        <v>33</v>
      </c>
      <c r="H16" s="13" t="s">
        <v>188</v>
      </c>
      <c r="I16" s="13" t="s">
        <v>189</v>
      </c>
      <c r="J16" s="13"/>
      <c r="K16" s="14"/>
      <c r="L16" s="14"/>
    </row>
    <row r="17" spans="1:12" ht="28" x14ac:dyDescent="0.2">
      <c r="A17" s="13" t="s">
        <v>190</v>
      </c>
      <c r="B17" s="13" t="s">
        <v>37</v>
      </c>
      <c r="C17" s="13" t="s">
        <v>169</v>
      </c>
      <c r="D17" s="13" t="s">
        <v>39</v>
      </c>
      <c r="E17" s="13" t="s">
        <v>191</v>
      </c>
      <c r="F17" s="13" t="s">
        <v>183</v>
      </c>
      <c r="G17" s="13" t="s">
        <v>32</v>
      </c>
      <c r="H17" s="13" t="s">
        <v>192</v>
      </c>
      <c r="I17" s="13" t="s">
        <v>193</v>
      </c>
      <c r="J17" s="13"/>
      <c r="K17" s="14"/>
      <c r="L17" s="14"/>
    </row>
    <row r="18" spans="1:12" ht="42" x14ac:dyDescent="0.2">
      <c r="A18" s="13" t="s">
        <v>194</v>
      </c>
      <c r="B18" s="13" t="s">
        <v>37</v>
      </c>
      <c r="C18" s="13" t="s">
        <v>169</v>
      </c>
      <c r="D18" s="13" t="s">
        <v>39</v>
      </c>
      <c r="E18" s="13" t="s">
        <v>195</v>
      </c>
      <c r="F18" s="13" t="s">
        <v>126</v>
      </c>
      <c r="G18" s="13" t="s">
        <v>33</v>
      </c>
      <c r="H18" s="13" t="s">
        <v>196</v>
      </c>
      <c r="I18" s="13" t="s">
        <v>197</v>
      </c>
      <c r="J18" s="13"/>
      <c r="K18" s="14"/>
      <c r="L18" s="14"/>
    </row>
    <row r="19" spans="1:12" x14ac:dyDescent="0.2">
      <c r="A19" s="13" t="s">
        <v>198</v>
      </c>
      <c r="B19" s="13" t="s">
        <v>37</v>
      </c>
      <c r="C19" s="13" t="s">
        <v>169</v>
      </c>
      <c r="D19" s="13" t="s">
        <v>39</v>
      </c>
      <c r="E19" s="13" t="s">
        <v>199</v>
      </c>
      <c r="F19" s="13" t="s">
        <v>126</v>
      </c>
      <c r="G19" s="13" t="s">
        <v>32</v>
      </c>
      <c r="H19" s="13" t="s">
        <v>200</v>
      </c>
      <c r="I19" s="13" t="s">
        <v>201</v>
      </c>
      <c r="J19" s="13"/>
      <c r="K19" s="14"/>
      <c r="L19" s="14"/>
    </row>
    <row r="20" spans="1:12" ht="28" x14ac:dyDescent="0.2">
      <c r="A20" s="13" t="s">
        <v>202</v>
      </c>
      <c r="B20" s="13" t="s">
        <v>37</v>
      </c>
      <c r="C20" s="13" t="s">
        <v>169</v>
      </c>
      <c r="D20" s="13" t="s">
        <v>39</v>
      </c>
      <c r="E20" s="13" t="s">
        <v>203</v>
      </c>
      <c r="F20" s="13" t="s">
        <v>126</v>
      </c>
      <c r="G20" s="13" t="s">
        <v>32</v>
      </c>
      <c r="H20" s="13" t="s">
        <v>204</v>
      </c>
      <c r="I20" s="13" t="s">
        <v>205</v>
      </c>
      <c r="J20" s="13"/>
      <c r="K20" s="14"/>
      <c r="L20" s="14"/>
    </row>
    <row r="21" spans="1:12" ht="28" x14ac:dyDescent="0.2">
      <c r="A21" s="13" t="s">
        <v>206</v>
      </c>
      <c r="B21" s="13" t="s">
        <v>37</v>
      </c>
      <c r="C21" s="13" t="s">
        <v>169</v>
      </c>
      <c r="D21" s="13" t="s">
        <v>39</v>
      </c>
      <c r="E21" s="13" t="s">
        <v>207</v>
      </c>
      <c r="F21" s="13" t="s">
        <v>153</v>
      </c>
      <c r="G21" s="13" t="s">
        <v>32</v>
      </c>
      <c r="H21" s="13" t="s">
        <v>208</v>
      </c>
      <c r="I21" s="13" t="s">
        <v>209</v>
      </c>
      <c r="J21" s="13"/>
      <c r="K21" s="14"/>
      <c r="L21" s="14"/>
    </row>
    <row r="22" spans="1:12" ht="28" x14ac:dyDescent="0.2">
      <c r="A22" s="13" t="s">
        <v>210</v>
      </c>
      <c r="B22" s="13" t="s">
        <v>37</v>
      </c>
      <c r="C22" s="13" t="s">
        <v>169</v>
      </c>
      <c r="D22" s="13" t="s">
        <v>39</v>
      </c>
      <c r="E22" s="13" t="s">
        <v>211</v>
      </c>
      <c r="F22" s="13" t="s">
        <v>126</v>
      </c>
      <c r="G22" s="13" t="s">
        <v>32</v>
      </c>
      <c r="H22" s="13" t="s">
        <v>212</v>
      </c>
      <c r="I22" s="13" t="s">
        <v>213</v>
      </c>
      <c r="J22" s="13"/>
      <c r="K22" s="14"/>
      <c r="L22" s="14"/>
    </row>
    <row r="23" spans="1:12" ht="28" x14ac:dyDescent="0.2">
      <c r="A23" s="13" t="s">
        <v>214</v>
      </c>
      <c r="B23" s="13" t="s">
        <v>37</v>
      </c>
      <c r="C23" s="13" t="s">
        <v>169</v>
      </c>
      <c r="D23" s="13" t="s">
        <v>39</v>
      </c>
      <c r="E23" s="13" t="s">
        <v>215</v>
      </c>
      <c r="F23" s="13" t="s">
        <v>126</v>
      </c>
      <c r="G23" s="13" t="s">
        <v>32</v>
      </c>
      <c r="H23" s="13" t="s">
        <v>216</v>
      </c>
      <c r="I23" s="13" t="s">
        <v>217</v>
      </c>
      <c r="J23" s="13"/>
      <c r="K23" s="14"/>
      <c r="L23" s="14"/>
    </row>
    <row r="24" spans="1:12" ht="28" x14ac:dyDescent="0.2">
      <c r="A24" s="13" t="s">
        <v>218</v>
      </c>
      <c r="B24" s="13" t="s">
        <v>37</v>
      </c>
      <c r="C24" s="13" t="s">
        <v>169</v>
      </c>
      <c r="D24" s="13" t="s">
        <v>39</v>
      </c>
      <c r="E24" s="13" t="s">
        <v>219</v>
      </c>
      <c r="F24" s="13" t="s">
        <v>153</v>
      </c>
      <c r="G24" s="13" t="s">
        <v>33</v>
      </c>
      <c r="H24" s="13" t="s">
        <v>220</v>
      </c>
      <c r="I24" s="13" t="s">
        <v>221</v>
      </c>
      <c r="J24" s="13"/>
      <c r="K24" s="14"/>
      <c r="L24" s="14"/>
    </row>
    <row r="25" spans="1:12" ht="42" x14ac:dyDescent="0.2">
      <c r="A25" s="13" t="s">
        <v>222</v>
      </c>
      <c r="B25" s="13" t="s">
        <v>37</v>
      </c>
      <c r="C25" s="13" t="s">
        <v>169</v>
      </c>
      <c r="D25" s="13" t="s">
        <v>39</v>
      </c>
      <c r="E25" s="13" t="s">
        <v>223</v>
      </c>
      <c r="F25" s="13" t="s">
        <v>126</v>
      </c>
      <c r="G25" s="13" t="s">
        <v>33</v>
      </c>
      <c r="H25" s="13" t="s">
        <v>224</v>
      </c>
      <c r="I25" s="13" t="s">
        <v>225</v>
      </c>
      <c r="J25" s="13"/>
      <c r="K25" s="14"/>
      <c r="L25" s="14"/>
    </row>
    <row r="26" spans="1:12" ht="42" x14ac:dyDescent="0.2">
      <c r="A26" s="13" t="s">
        <v>226</v>
      </c>
      <c r="B26" s="13" t="s">
        <v>37</v>
      </c>
      <c r="C26" s="13" t="s">
        <v>169</v>
      </c>
      <c r="D26" s="13" t="s">
        <v>39</v>
      </c>
      <c r="E26" s="13" t="s">
        <v>227</v>
      </c>
      <c r="F26" s="13" t="s">
        <v>126</v>
      </c>
      <c r="G26" s="13" t="s">
        <v>33</v>
      </c>
      <c r="H26" s="13" t="s">
        <v>228</v>
      </c>
      <c r="I26" s="13" t="s">
        <v>229</v>
      </c>
      <c r="J26" s="13"/>
      <c r="K26" s="14"/>
      <c r="L26" s="14"/>
    </row>
    <row r="27" spans="1:12" ht="28" x14ac:dyDescent="0.2">
      <c r="A27" s="13" t="s">
        <v>230</v>
      </c>
      <c r="B27" s="13" t="s">
        <v>37</v>
      </c>
      <c r="C27" s="13" t="s">
        <v>169</v>
      </c>
      <c r="D27" s="13" t="s">
        <v>39</v>
      </c>
      <c r="E27" s="13" t="s">
        <v>231</v>
      </c>
      <c r="F27" s="13" t="s">
        <v>126</v>
      </c>
      <c r="G27" s="13" t="s">
        <v>32</v>
      </c>
      <c r="H27" s="13" t="s">
        <v>232</v>
      </c>
      <c r="I27" s="13" t="s">
        <v>233</v>
      </c>
      <c r="J27" s="13"/>
      <c r="K27" s="14"/>
      <c r="L27" s="14"/>
    </row>
    <row r="28" spans="1:12" ht="28" x14ac:dyDescent="0.2">
      <c r="A28" s="13" t="s">
        <v>234</v>
      </c>
      <c r="B28" s="13" t="s">
        <v>37</v>
      </c>
      <c r="C28" s="13" t="s">
        <v>169</v>
      </c>
      <c r="D28" s="13" t="s">
        <v>39</v>
      </c>
      <c r="E28" s="13" t="s">
        <v>235</v>
      </c>
      <c r="F28" s="13" t="s">
        <v>126</v>
      </c>
      <c r="G28" s="13" t="s">
        <v>33</v>
      </c>
      <c r="H28" s="13" t="s">
        <v>236</v>
      </c>
      <c r="I28" s="13" t="s">
        <v>237</v>
      </c>
      <c r="J28" s="13"/>
      <c r="K28" s="14"/>
      <c r="L28" s="14"/>
    </row>
    <row r="29" spans="1:12" ht="28" x14ac:dyDescent="0.2">
      <c r="A29" s="13" t="s">
        <v>238</v>
      </c>
      <c r="B29" s="13" t="s">
        <v>37</v>
      </c>
      <c r="C29" s="13" t="s">
        <v>169</v>
      </c>
      <c r="D29" s="13" t="s">
        <v>39</v>
      </c>
      <c r="E29" s="13" t="s">
        <v>239</v>
      </c>
      <c r="F29" s="13" t="s">
        <v>126</v>
      </c>
      <c r="G29" s="13" t="s">
        <v>32</v>
      </c>
      <c r="H29" s="13" t="s">
        <v>240</v>
      </c>
      <c r="I29" s="13" t="s">
        <v>241</v>
      </c>
      <c r="J29" s="13"/>
      <c r="K29" s="14"/>
      <c r="L29" s="14"/>
    </row>
    <row r="30" spans="1:12" x14ac:dyDescent="0.2">
      <c r="A30" s="13" t="s">
        <v>242</v>
      </c>
      <c r="B30" s="13" t="s">
        <v>37</v>
      </c>
      <c r="C30" s="13" t="s">
        <v>169</v>
      </c>
      <c r="D30" s="13" t="s">
        <v>39</v>
      </c>
      <c r="E30" s="13" t="s">
        <v>243</v>
      </c>
      <c r="F30" s="13" t="s">
        <v>126</v>
      </c>
      <c r="G30" s="13" t="s">
        <v>32</v>
      </c>
      <c r="H30" s="13" t="s">
        <v>244</v>
      </c>
      <c r="I30" s="13" t="s">
        <v>245</v>
      </c>
      <c r="J30" s="13"/>
      <c r="K30" s="14"/>
      <c r="L30" s="14"/>
    </row>
    <row r="31" spans="1:12" ht="28" x14ac:dyDescent="0.2">
      <c r="A31" s="13" t="s">
        <v>246</v>
      </c>
      <c r="B31" s="13" t="s">
        <v>42</v>
      </c>
      <c r="C31" s="13" t="s">
        <v>124</v>
      </c>
      <c r="D31" s="13" t="s">
        <v>44</v>
      </c>
      <c r="E31" s="13" t="s">
        <v>247</v>
      </c>
      <c r="F31" s="13" t="s">
        <v>126</v>
      </c>
      <c r="G31" s="13" t="s">
        <v>32</v>
      </c>
      <c r="H31" s="13" t="s">
        <v>248</v>
      </c>
      <c r="I31" s="13" t="s">
        <v>249</v>
      </c>
      <c r="J31" s="13"/>
      <c r="K31" s="14"/>
      <c r="L31" s="14"/>
    </row>
    <row r="32" spans="1:12" ht="42" x14ac:dyDescent="0.2">
      <c r="A32" s="13" t="s">
        <v>250</v>
      </c>
      <c r="B32" s="13" t="s">
        <v>42</v>
      </c>
      <c r="C32" s="13" t="s">
        <v>124</v>
      </c>
      <c r="D32" s="13" t="s">
        <v>44</v>
      </c>
      <c r="E32" s="13" t="s">
        <v>251</v>
      </c>
      <c r="F32" s="13" t="s">
        <v>126</v>
      </c>
      <c r="G32" s="13" t="s">
        <v>32</v>
      </c>
      <c r="H32" s="13" t="s">
        <v>252</v>
      </c>
      <c r="I32" s="13" t="s">
        <v>253</v>
      </c>
      <c r="J32" s="13" t="s">
        <v>254</v>
      </c>
      <c r="K32" s="14"/>
      <c r="L32" s="14"/>
    </row>
    <row r="33" spans="1:12" ht="28" x14ac:dyDescent="0.2">
      <c r="A33" s="13" t="s">
        <v>255</v>
      </c>
      <c r="B33" s="13" t="s">
        <v>42</v>
      </c>
      <c r="C33" s="13" t="s">
        <v>124</v>
      </c>
      <c r="D33" s="13" t="s">
        <v>44</v>
      </c>
      <c r="E33" s="13" t="s">
        <v>256</v>
      </c>
      <c r="F33" s="13" t="s">
        <v>153</v>
      </c>
      <c r="G33" s="13" t="s">
        <v>32</v>
      </c>
      <c r="H33" s="13" t="s">
        <v>257</v>
      </c>
      <c r="I33" s="13" t="s">
        <v>258</v>
      </c>
      <c r="J33" s="13"/>
      <c r="K33" s="14"/>
      <c r="L33" s="14"/>
    </row>
    <row r="34" spans="1:12" ht="42" x14ac:dyDescent="0.2">
      <c r="A34" s="13" t="s">
        <v>259</v>
      </c>
      <c r="B34" s="13" t="s">
        <v>42</v>
      </c>
      <c r="C34" s="13" t="s">
        <v>124</v>
      </c>
      <c r="D34" s="13" t="s">
        <v>44</v>
      </c>
      <c r="E34" s="13" t="s">
        <v>260</v>
      </c>
      <c r="F34" s="13" t="s">
        <v>153</v>
      </c>
      <c r="G34" s="13" t="s">
        <v>32</v>
      </c>
      <c r="H34" s="13" t="s">
        <v>261</v>
      </c>
      <c r="I34" s="13" t="s">
        <v>262</v>
      </c>
      <c r="J34" s="13"/>
      <c r="K34" s="14"/>
      <c r="L34" s="14"/>
    </row>
    <row r="35" spans="1:12" ht="28" x14ac:dyDescent="0.2">
      <c r="A35" s="13" t="s">
        <v>263</v>
      </c>
      <c r="B35" s="13" t="s">
        <v>42</v>
      </c>
      <c r="C35" s="13" t="s">
        <v>124</v>
      </c>
      <c r="D35" s="13" t="s">
        <v>44</v>
      </c>
      <c r="E35" s="13" t="s">
        <v>251</v>
      </c>
      <c r="F35" s="13" t="s">
        <v>126</v>
      </c>
      <c r="G35" s="13" t="s">
        <v>32</v>
      </c>
      <c r="H35" s="13" t="s">
        <v>264</v>
      </c>
      <c r="I35" s="13" t="s">
        <v>265</v>
      </c>
      <c r="J35" s="13"/>
      <c r="K35" s="14"/>
      <c r="L35" s="14"/>
    </row>
    <row r="36" spans="1:12" ht="28" x14ac:dyDescent="0.2">
      <c r="A36" s="13" t="s">
        <v>266</v>
      </c>
      <c r="B36" s="13" t="s">
        <v>42</v>
      </c>
      <c r="C36" s="13" t="s">
        <v>124</v>
      </c>
      <c r="D36" s="13" t="s">
        <v>44</v>
      </c>
      <c r="E36" s="13" t="s">
        <v>247</v>
      </c>
      <c r="F36" s="13" t="s">
        <v>126</v>
      </c>
      <c r="G36" s="13" t="s">
        <v>32</v>
      </c>
      <c r="H36" s="13" t="s">
        <v>267</v>
      </c>
      <c r="I36" s="13" t="s">
        <v>268</v>
      </c>
      <c r="J36" s="13"/>
      <c r="K36" s="14"/>
      <c r="L36" s="14"/>
    </row>
    <row r="37" spans="1:12" ht="28" x14ac:dyDescent="0.2">
      <c r="A37" s="13" t="s">
        <v>269</v>
      </c>
      <c r="B37" s="13" t="s">
        <v>46</v>
      </c>
      <c r="C37" s="13" t="s">
        <v>124</v>
      </c>
      <c r="D37" s="13" t="s">
        <v>39</v>
      </c>
      <c r="E37" s="13" t="s">
        <v>270</v>
      </c>
      <c r="F37" s="13" t="s">
        <v>126</v>
      </c>
      <c r="G37" s="13" t="s">
        <v>32</v>
      </c>
      <c r="H37" s="13" t="s">
        <v>271</v>
      </c>
      <c r="I37" s="13" t="s">
        <v>272</v>
      </c>
      <c r="J37" s="13"/>
      <c r="K37" s="14"/>
      <c r="L37" s="14"/>
    </row>
    <row r="38" spans="1:12" ht="28" x14ac:dyDescent="0.2">
      <c r="A38" s="13" t="s">
        <v>273</v>
      </c>
      <c r="B38" s="13" t="s">
        <v>46</v>
      </c>
      <c r="C38" s="13" t="s">
        <v>124</v>
      </c>
      <c r="D38" s="13" t="s">
        <v>39</v>
      </c>
      <c r="E38" s="13" t="s">
        <v>270</v>
      </c>
      <c r="F38" s="13" t="s">
        <v>126</v>
      </c>
      <c r="G38" s="13" t="s">
        <v>33</v>
      </c>
      <c r="H38" s="13" t="s">
        <v>274</v>
      </c>
      <c r="I38" s="13" t="s">
        <v>275</v>
      </c>
      <c r="J38" s="13" t="s">
        <v>276</v>
      </c>
      <c r="K38" s="14"/>
      <c r="L38" s="14"/>
    </row>
    <row r="39" spans="1:12" ht="42" x14ac:dyDescent="0.2">
      <c r="A39" s="13" t="s">
        <v>277</v>
      </c>
      <c r="B39" s="13" t="s">
        <v>46</v>
      </c>
      <c r="C39" s="13" t="s">
        <v>124</v>
      </c>
      <c r="D39" s="13" t="s">
        <v>39</v>
      </c>
      <c r="E39" s="13" t="s">
        <v>278</v>
      </c>
      <c r="F39" s="13" t="s">
        <v>126</v>
      </c>
      <c r="G39" s="13" t="s">
        <v>33</v>
      </c>
      <c r="H39" s="13" t="s">
        <v>279</v>
      </c>
      <c r="I39" s="13" t="s">
        <v>280</v>
      </c>
      <c r="J39" s="13"/>
      <c r="K39" s="14"/>
      <c r="L39" s="14"/>
    </row>
    <row r="40" spans="1:12" ht="42" x14ac:dyDescent="0.2">
      <c r="A40" s="13" t="s">
        <v>281</v>
      </c>
      <c r="B40" s="13" t="s">
        <v>46</v>
      </c>
      <c r="C40" s="13" t="s">
        <v>124</v>
      </c>
      <c r="D40" s="13" t="s">
        <v>39</v>
      </c>
      <c r="E40" s="13" t="s">
        <v>282</v>
      </c>
      <c r="F40" s="13" t="s">
        <v>126</v>
      </c>
      <c r="G40" s="13" t="s">
        <v>33</v>
      </c>
      <c r="H40" s="13" t="s">
        <v>283</v>
      </c>
      <c r="I40" s="13" t="s">
        <v>284</v>
      </c>
      <c r="J40" s="13"/>
      <c r="K40" s="14"/>
      <c r="L40" s="14"/>
    </row>
    <row r="41" spans="1:12" ht="28" x14ac:dyDescent="0.2">
      <c r="A41" s="13" t="s">
        <v>285</v>
      </c>
      <c r="B41" s="13" t="s">
        <v>46</v>
      </c>
      <c r="C41" s="13" t="s">
        <v>124</v>
      </c>
      <c r="D41" s="13" t="s">
        <v>39</v>
      </c>
      <c r="E41" s="13" t="s">
        <v>286</v>
      </c>
      <c r="F41" s="13" t="s">
        <v>153</v>
      </c>
      <c r="G41" s="13" t="s">
        <v>33</v>
      </c>
      <c r="H41" s="13" t="s">
        <v>287</v>
      </c>
      <c r="I41" s="13" t="s">
        <v>288</v>
      </c>
      <c r="J41" s="13"/>
      <c r="K41" s="14"/>
      <c r="L41" s="14"/>
    </row>
    <row r="42" spans="1:12" ht="28" x14ac:dyDescent="0.2">
      <c r="A42" s="13" t="s">
        <v>289</v>
      </c>
      <c r="B42" s="13" t="s">
        <v>46</v>
      </c>
      <c r="C42" s="13" t="s">
        <v>124</v>
      </c>
      <c r="D42" s="13" t="s">
        <v>39</v>
      </c>
      <c r="E42" s="13" t="s">
        <v>286</v>
      </c>
      <c r="F42" s="13" t="s">
        <v>126</v>
      </c>
      <c r="G42" s="13" t="s">
        <v>33</v>
      </c>
      <c r="H42" s="13" t="s">
        <v>290</v>
      </c>
      <c r="I42" s="13" t="s">
        <v>291</v>
      </c>
      <c r="J42" s="13" t="s">
        <v>292</v>
      </c>
      <c r="K42" s="14"/>
      <c r="L42" s="14"/>
    </row>
    <row r="43" spans="1:12" ht="28" x14ac:dyDescent="0.2">
      <c r="A43" s="13" t="s">
        <v>293</v>
      </c>
      <c r="B43" s="13" t="s">
        <v>46</v>
      </c>
      <c r="C43" s="13" t="s">
        <v>124</v>
      </c>
      <c r="D43" s="13" t="s">
        <v>39</v>
      </c>
      <c r="E43" s="13" t="s">
        <v>294</v>
      </c>
      <c r="F43" s="13" t="s">
        <v>153</v>
      </c>
      <c r="G43" s="13" t="s">
        <v>33</v>
      </c>
      <c r="H43" s="13" t="s">
        <v>295</v>
      </c>
      <c r="I43" s="13" t="s">
        <v>296</v>
      </c>
      <c r="J43" s="13"/>
      <c r="K43" s="14"/>
      <c r="L43" s="14"/>
    </row>
    <row r="44" spans="1:12" ht="28" x14ac:dyDescent="0.2">
      <c r="A44" s="13" t="s">
        <v>297</v>
      </c>
      <c r="B44" s="13" t="s">
        <v>46</v>
      </c>
      <c r="C44" s="13" t="s">
        <v>124</v>
      </c>
      <c r="D44" s="13" t="s">
        <v>39</v>
      </c>
      <c r="E44" s="13" t="s">
        <v>298</v>
      </c>
      <c r="F44" s="13" t="s">
        <v>126</v>
      </c>
      <c r="G44" s="13" t="s">
        <v>33</v>
      </c>
      <c r="H44" s="13" t="s">
        <v>299</v>
      </c>
      <c r="I44" s="13" t="s">
        <v>300</v>
      </c>
      <c r="J44" s="13"/>
      <c r="K44" s="14"/>
      <c r="L44" s="14"/>
    </row>
    <row r="45" spans="1:12" ht="28" x14ac:dyDescent="0.2">
      <c r="A45" s="13" t="s">
        <v>301</v>
      </c>
      <c r="B45" s="13" t="s">
        <v>46</v>
      </c>
      <c r="C45" s="13" t="s">
        <v>124</v>
      </c>
      <c r="D45" s="13" t="s">
        <v>39</v>
      </c>
      <c r="E45" s="13" t="s">
        <v>302</v>
      </c>
      <c r="F45" s="13" t="s">
        <v>126</v>
      </c>
      <c r="G45" s="13" t="s">
        <v>33</v>
      </c>
      <c r="H45" s="13" t="s">
        <v>303</v>
      </c>
      <c r="I45" s="13" t="s">
        <v>304</v>
      </c>
      <c r="J45" s="13" t="s">
        <v>305</v>
      </c>
      <c r="K45" s="14"/>
      <c r="L45" s="14"/>
    </row>
    <row r="46" spans="1:12" ht="28" x14ac:dyDescent="0.2">
      <c r="A46" s="13" t="s">
        <v>306</v>
      </c>
      <c r="B46" s="13" t="s">
        <v>46</v>
      </c>
      <c r="C46" s="13" t="s">
        <v>124</v>
      </c>
      <c r="D46" s="13" t="s">
        <v>39</v>
      </c>
      <c r="E46" s="13" t="s">
        <v>307</v>
      </c>
      <c r="F46" s="13" t="s">
        <v>126</v>
      </c>
      <c r="G46" s="13" t="s">
        <v>33</v>
      </c>
      <c r="H46" s="13" t="s">
        <v>308</v>
      </c>
      <c r="I46" s="13" t="s">
        <v>309</v>
      </c>
      <c r="J46" s="13"/>
      <c r="K46" s="14"/>
      <c r="L46" s="14"/>
    </row>
    <row r="47" spans="1:12" ht="28" x14ac:dyDescent="0.2">
      <c r="A47" s="13" t="s">
        <v>310</v>
      </c>
      <c r="B47" s="13" t="s">
        <v>46</v>
      </c>
      <c r="C47" s="13" t="s">
        <v>124</v>
      </c>
      <c r="D47" s="13" t="s">
        <v>39</v>
      </c>
      <c r="E47" s="13" t="s">
        <v>311</v>
      </c>
      <c r="F47" s="13" t="s">
        <v>126</v>
      </c>
      <c r="G47" s="13" t="s">
        <v>34</v>
      </c>
      <c r="H47" s="13" t="s">
        <v>312</v>
      </c>
      <c r="I47" s="13" t="s">
        <v>313</v>
      </c>
      <c r="J47" s="13"/>
      <c r="K47" s="14"/>
      <c r="L47" s="14"/>
    </row>
    <row r="48" spans="1:12" ht="28" x14ac:dyDescent="0.2">
      <c r="A48" s="13" t="s">
        <v>314</v>
      </c>
      <c r="B48" s="13" t="s">
        <v>46</v>
      </c>
      <c r="C48" s="13" t="s">
        <v>124</v>
      </c>
      <c r="D48" s="13" t="s">
        <v>39</v>
      </c>
      <c r="E48" s="13" t="s">
        <v>315</v>
      </c>
      <c r="F48" s="13" t="s">
        <v>126</v>
      </c>
      <c r="G48" s="13" t="s">
        <v>34</v>
      </c>
      <c r="H48" s="13" t="s">
        <v>316</v>
      </c>
      <c r="I48" s="13" t="s">
        <v>317</v>
      </c>
      <c r="J48" s="13"/>
      <c r="K48" s="14"/>
      <c r="L48" s="14"/>
    </row>
    <row r="49" spans="1:12" ht="28" x14ac:dyDescent="0.2">
      <c r="A49" s="13" t="s">
        <v>318</v>
      </c>
      <c r="B49" s="13" t="s">
        <v>46</v>
      </c>
      <c r="C49" s="13" t="s">
        <v>124</v>
      </c>
      <c r="D49" s="13" t="s">
        <v>39</v>
      </c>
      <c r="E49" s="13" t="s">
        <v>319</v>
      </c>
      <c r="F49" s="13" t="s">
        <v>126</v>
      </c>
      <c r="G49" s="13" t="s">
        <v>34</v>
      </c>
      <c r="H49" s="13" t="s">
        <v>320</v>
      </c>
      <c r="I49" s="13" t="s">
        <v>321</v>
      </c>
      <c r="J49" s="13"/>
      <c r="K49" s="14"/>
      <c r="L49" s="14"/>
    </row>
    <row r="50" spans="1:12" ht="28" x14ac:dyDescent="0.2">
      <c r="A50" s="13" t="s">
        <v>322</v>
      </c>
      <c r="B50" s="13" t="s">
        <v>46</v>
      </c>
      <c r="C50" s="13" t="s">
        <v>124</v>
      </c>
      <c r="D50" s="13" t="s">
        <v>39</v>
      </c>
      <c r="E50" s="13" t="s">
        <v>323</v>
      </c>
      <c r="F50" s="13" t="s">
        <v>153</v>
      </c>
      <c r="G50" s="13" t="s">
        <v>33</v>
      </c>
      <c r="H50" s="13" t="s">
        <v>324</v>
      </c>
      <c r="I50" s="13" t="s">
        <v>325</v>
      </c>
      <c r="J50" s="13"/>
      <c r="K50" s="14"/>
      <c r="L50" s="14"/>
    </row>
    <row r="51" spans="1:12" ht="28" x14ac:dyDescent="0.2">
      <c r="A51" s="13" t="s">
        <v>326</v>
      </c>
      <c r="B51" s="13" t="s">
        <v>46</v>
      </c>
      <c r="C51" s="13" t="s">
        <v>169</v>
      </c>
      <c r="D51" s="13" t="s">
        <v>39</v>
      </c>
      <c r="E51" s="13" t="s">
        <v>327</v>
      </c>
      <c r="F51" s="13" t="s">
        <v>126</v>
      </c>
      <c r="G51" s="13" t="s">
        <v>32</v>
      </c>
      <c r="H51" s="13" t="s">
        <v>328</v>
      </c>
      <c r="I51" s="13" t="s">
        <v>329</v>
      </c>
      <c r="J51" s="13"/>
      <c r="K51" s="14"/>
      <c r="L51" s="14"/>
    </row>
    <row r="52" spans="1:12" ht="28" x14ac:dyDescent="0.2">
      <c r="A52" s="13" t="s">
        <v>330</v>
      </c>
      <c r="B52" s="13" t="s">
        <v>46</v>
      </c>
      <c r="C52" s="13" t="s">
        <v>169</v>
      </c>
      <c r="D52" s="13" t="s">
        <v>39</v>
      </c>
      <c r="E52" s="13" t="s">
        <v>331</v>
      </c>
      <c r="F52" s="13" t="s">
        <v>153</v>
      </c>
      <c r="G52" s="13" t="s">
        <v>32</v>
      </c>
      <c r="H52" s="13" t="s">
        <v>332</v>
      </c>
      <c r="I52" s="13" t="s">
        <v>333</v>
      </c>
      <c r="J52" s="13"/>
      <c r="K52" s="14"/>
      <c r="L52" s="14"/>
    </row>
    <row r="53" spans="1:12" ht="42" x14ac:dyDescent="0.2">
      <c r="A53" s="13" t="s">
        <v>334</v>
      </c>
      <c r="B53" s="13" t="s">
        <v>46</v>
      </c>
      <c r="C53" s="13" t="s">
        <v>169</v>
      </c>
      <c r="D53" s="13" t="s">
        <v>39</v>
      </c>
      <c r="E53" s="13" t="s">
        <v>335</v>
      </c>
      <c r="F53" s="13" t="s">
        <v>126</v>
      </c>
      <c r="G53" s="13" t="s">
        <v>33</v>
      </c>
      <c r="H53" s="13" t="s">
        <v>336</v>
      </c>
      <c r="I53" s="13" t="s">
        <v>337</v>
      </c>
      <c r="J53" s="13"/>
      <c r="K53" s="14"/>
      <c r="L53" s="14"/>
    </row>
    <row r="54" spans="1:12" ht="28" x14ac:dyDescent="0.2">
      <c r="A54" s="13" t="s">
        <v>338</v>
      </c>
      <c r="B54" s="13" t="s">
        <v>46</v>
      </c>
      <c r="C54" s="13" t="s">
        <v>169</v>
      </c>
      <c r="D54" s="13" t="s">
        <v>39</v>
      </c>
      <c r="E54" s="13" t="s">
        <v>339</v>
      </c>
      <c r="F54" s="13" t="s">
        <v>126</v>
      </c>
      <c r="G54" s="13" t="s">
        <v>32</v>
      </c>
      <c r="H54" s="13" t="s">
        <v>340</v>
      </c>
      <c r="I54" s="13" t="s">
        <v>341</v>
      </c>
      <c r="J54" s="13"/>
      <c r="K54" s="14"/>
      <c r="L54" s="14"/>
    </row>
    <row r="55" spans="1:12" ht="28" x14ac:dyDescent="0.2">
      <c r="A55" s="13" t="s">
        <v>342</v>
      </c>
      <c r="B55" s="13" t="s">
        <v>46</v>
      </c>
      <c r="C55" s="13" t="s">
        <v>169</v>
      </c>
      <c r="D55" s="13" t="s">
        <v>39</v>
      </c>
      <c r="E55" s="13" t="s">
        <v>343</v>
      </c>
      <c r="F55" s="13" t="s">
        <v>126</v>
      </c>
      <c r="G55" s="13" t="s">
        <v>33</v>
      </c>
      <c r="H55" s="13" t="s">
        <v>344</v>
      </c>
      <c r="I55" s="13" t="s">
        <v>345</v>
      </c>
      <c r="J55" s="13"/>
      <c r="K55" s="14"/>
      <c r="L55" s="14"/>
    </row>
    <row r="56" spans="1:12" ht="28" x14ac:dyDescent="0.2">
      <c r="A56" s="13" t="s">
        <v>346</v>
      </c>
      <c r="B56" s="13" t="s">
        <v>46</v>
      </c>
      <c r="C56" s="13" t="s">
        <v>169</v>
      </c>
      <c r="D56" s="13" t="s">
        <v>39</v>
      </c>
      <c r="E56" s="13" t="s">
        <v>347</v>
      </c>
      <c r="F56" s="13" t="s">
        <v>126</v>
      </c>
      <c r="G56" s="13" t="s">
        <v>32</v>
      </c>
      <c r="H56" s="13" t="s">
        <v>348</v>
      </c>
      <c r="I56" s="13" t="s">
        <v>349</v>
      </c>
      <c r="J56" s="13"/>
      <c r="K56" s="14"/>
      <c r="L56" s="14"/>
    </row>
    <row r="57" spans="1:12" ht="28" x14ac:dyDescent="0.2">
      <c r="A57" s="13" t="s">
        <v>350</v>
      </c>
      <c r="B57" s="13" t="s">
        <v>46</v>
      </c>
      <c r="C57" s="13" t="s">
        <v>169</v>
      </c>
      <c r="D57" s="13" t="s">
        <v>39</v>
      </c>
      <c r="E57" s="13" t="s">
        <v>351</v>
      </c>
      <c r="F57" s="13" t="s">
        <v>183</v>
      </c>
      <c r="G57" s="13" t="s">
        <v>32</v>
      </c>
      <c r="H57" s="13" t="s">
        <v>352</v>
      </c>
      <c r="I57" s="13" t="s">
        <v>353</v>
      </c>
      <c r="J57" s="13"/>
      <c r="K57" s="14"/>
      <c r="L57" s="14"/>
    </row>
    <row r="58" spans="1:12" ht="28" x14ac:dyDescent="0.2">
      <c r="A58" s="13" t="s">
        <v>354</v>
      </c>
      <c r="B58" s="13" t="s">
        <v>46</v>
      </c>
      <c r="C58" s="13" t="s">
        <v>169</v>
      </c>
      <c r="D58" s="13" t="s">
        <v>39</v>
      </c>
      <c r="E58" s="13" t="s">
        <v>355</v>
      </c>
      <c r="F58" s="13" t="s">
        <v>126</v>
      </c>
      <c r="G58" s="13" t="s">
        <v>32</v>
      </c>
      <c r="H58" s="13" t="s">
        <v>356</v>
      </c>
      <c r="I58" s="13" t="s">
        <v>357</v>
      </c>
      <c r="J58" s="13"/>
      <c r="K58" s="14"/>
      <c r="L58" s="14"/>
    </row>
    <row r="59" spans="1:12" ht="28" x14ac:dyDescent="0.2">
      <c r="A59" s="13" t="s">
        <v>358</v>
      </c>
      <c r="B59" s="13" t="s">
        <v>46</v>
      </c>
      <c r="C59" s="13" t="s">
        <v>169</v>
      </c>
      <c r="D59" s="13" t="s">
        <v>39</v>
      </c>
      <c r="E59" s="13" t="s">
        <v>359</v>
      </c>
      <c r="F59" s="13" t="s">
        <v>126</v>
      </c>
      <c r="G59" s="13" t="s">
        <v>33</v>
      </c>
      <c r="H59" s="13" t="s">
        <v>360</v>
      </c>
      <c r="I59" s="13" t="s">
        <v>361</v>
      </c>
      <c r="J59" s="13"/>
      <c r="K59" s="14"/>
      <c r="L59" s="14"/>
    </row>
    <row r="60" spans="1:12" ht="28" x14ac:dyDescent="0.2">
      <c r="A60" s="13" t="s">
        <v>362</v>
      </c>
      <c r="B60" s="13" t="s">
        <v>46</v>
      </c>
      <c r="C60" s="13" t="s">
        <v>169</v>
      </c>
      <c r="D60" s="13" t="s">
        <v>39</v>
      </c>
      <c r="E60" s="13" t="s">
        <v>363</v>
      </c>
      <c r="F60" s="13" t="s">
        <v>126</v>
      </c>
      <c r="G60" s="13" t="s">
        <v>33</v>
      </c>
      <c r="H60" s="13" t="s">
        <v>364</v>
      </c>
      <c r="I60" s="13" t="s">
        <v>365</v>
      </c>
      <c r="J60" s="13"/>
      <c r="K60" s="14"/>
      <c r="L60" s="14"/>
    </row>
    <row r="61" spans="1:12" ht="28" x14ac:dyDescent="0.2">
      <c r="A61" s="13" t="s">
        <v>366</v>
      </c>
      <c r="B61" s="13" t="s">
        <v>46</v>
      </c>
      <c r="C61" s="13" t="s">
        <v>169</v>
      </c>
      <c r="D61" s="13" t="s">
        <v>39</v>
      </c>
      <c r="E61" s="13" t="s">
        <v>294</v>
      </c>
      <c r="F61" s="13" t="s">
        <v>126</v>
      </c>
      <c r="G61" s="13" t="s">
        <v>33</v>
      </c>
      <c r="H61" s="13" t="s">
        <v>367</v>
      </c>
      <c r="I61" s="13" t="s">
        <v>368</v>
      </c>
      <c r="J61" s="13"/>
      <c r="K61" s="14"/>
      <c r="L61" s="14"/>
    </row>
    <row r="62" spans="1:12" ht="28" x14ac:dyDescent="0.2">
      <c r="A62" s="13" t="s">
        <v>369</v>
      </c>
      <c r="B62" s="13" t="s">
        <v>46</v>
      </c>
      <c r="C62" s="13" t="s">
        <v>169</v>
      </c>
      <c r="D62" s="13" t="s">
        <v>39</v>
      </c>
      <c r="E62" s="13" t="s">
        <v>286</v>
      </c>
      <c r="F62" s="13" t="s">
        <v>126</v>
      </c>
      <c r="G62" s="13" t="s">
        <v>32</v>
      </c>
      <c r="H62" s="13" t="s">
        <v>370</v>
      </c>
      <c r="I62" s="13" t="s">
        <v>371</v>
      </c>
      <c r="J62" s="13"/>
      <c r="K62" s="14"/>
      <c r="L62" s="14"/>
    </row>
    <row r="63" spans="1:12" x14ac:dyDescent="0.2">
      <c r="A63" s="13" t="s">
        <v>372</v>
      </c>
      <c r="B63" s="13" t="s">
        <v>46</v>
      </c>
      <c r="C63" s="13" t="s">
        <v>169</v>
      </c>
      <c r="D63" s="13" t="s">
        <v>39</v>
      </c>
      <c r="E63" s="13" t="s">
        <v>373</v>
      </c>
      <c r="F63" s="13" t="s">
        <v>126</v>
      </c>
      <c r="G63" s="13" t="s">
        <v>32</v>
      </c>
      <c r="H63" s="13" t="s">
        <v>374</v>
      </c>
      <c r="I63" s="13" t="s">
        <v>375</v>
      </c>
      <c r="J63" s="13"/>
      <c r="K63" s="14"/>
      <c r="L63" s="14"/>
    </row>
    <row r="64" spans="1:12" x14ac:dyDescent="0.2">
      <c r="A64" s="13" t="s">
        <v>376</v>
      </c>
      <c r="B64" s="13" t="s">
        <v>46</v>
      </c>
      <c r="C64" s="13" t="s">
        <v>169</v>
      </c>
      <c r="D64" s="13" t="s">
        <v>39</v>
      </c>
      <c r="E64" s="13" t="s">
        <v>377</v>
      </c>
      <c r="F64" s="13" t="s">
        <v>126</v>
      </c>
      <c r="G64" s="13" t="s">
        <v>32</v>
      </c>
      <c r="H64" s="13" t="s">
        <v>378</v>
      </c>
      <c r="I64" s="13" t="s">
        <v>379</v>
      </c>
      <c r="J64" s="13"/>
      <c r="K64" s="14"/>
      <c r="L64" s="14"/>
    </row>
    <row r="65" spans="1:12" ht="28" x14ac:dyDescent="0.2">
      <c r="A65" s="13" t="s">
        <v>380</v>
      </c>
      <c r="B65" s="13" t="s">
        <v>46</v>
      </c>
      <c r="C65" s="13" t="s">
        <v>169</v>
      </c>
      <c r="D65" s="13" t="s">
        <v>39</v>
      </c>
      <c r="E65" s="13" t="s">
        <v>381</v>
      </c>
      <c r="F65" s="13" t="s">
        <v>126</v>
      </c>
      <c r="G65" s="13" t="s">
        <v>33</v>
      </c>
      <c r="H65" s="13" t="s">
        <v>382</v>
      </c>
      <c r="I65" s="13" t="s">
        <v>383</v>
      </c>
      <c r="J65" s="13"/>
      <c r="K65" s="14"/>
      <c r="L65" s="14"/>
    </row>
    <row r="66" spans="1:12" ht="28" x14ac:dyDescent="0.2">
      <c r="A66" s="13" t="s">
        <v>384</v>
      </c>
      <c r="B66" s="13" t="s">
        <v>46</v>
      </c>
      <c r="C66" s="13" t="s">
        <v>169</v>
      </c>
      <c r="D66" s="13" t="s">
        <v>39</v>
      </c>
      <c r="E66" s="13" t="s">
        <v>385</v>
      </c>
      <c r="F66" s="13" t="s">
        <v>126</v>
      </c>
      <c r="G66" s="13" t="s">
        <v>32</v>
      </c>
      <c r="H66" s="13" t="s">
        <v>386</v>
      </c>
      <c r="I66" s="13" t="s">
        <v>387</v>
      </c>
      <c r="J66" s="13"/>
      <c r="K66" s="14"/>
      <c r="L66" s="14"/>
    </row>
    <row r="67" spans="1:12" ht="28" x14ac:dyDescent="0.2">
      <c r="A67" s="13" t="s">
        <v>388</v>
      </c>
      <c r="B67" s="13" t="s">
        <v>46</v>
      </c>
      <c r="C67" s="13" t="s">
        <v>169</v>
      </c>
      <c r="D67" s="13" t="s">
        <v>39</v>
      </c>
      <c r="E67" s="13" t="s">
        <v>389</v>
      </c>
      <c r="F67" s="13" t="s">
        <v>126</v>
      </c>
      <c r="G67" s="13" t="s">
        <v>32</v>
      </c>
      <c r="H67" s="13" t="s">
        <v>390</v>
      </c>
      <c r="I67" s="13" t="s">
        <v>391</v>
      </c>
      <c r="J67" s="13"/>
      <c r="K67" s="14"/>
      <c r="L67" s="14"/>
    </row>
    <row r="68" spans="1:12" x14ac:dyDescent="0.2">
      <c r="A68" s="13" t="s">
        <v>392</v>
      </c>
      <c r="B68" s="13" t="s">
        <v>46</v>
      </c>
      <c r="C68" s="13" t="s">
        <v>169</v>
      </c>
      <c r="D68" s="13" t="s">
        <v>39</v>
      </c>
      <c r="E68" s="13" t="s">
        <v>393</v>
      </c>
      <c r="F68" s="13" t="s">
        <v>126</v>
      </c>
      <c r="G68" s="13" t="s">
        <v>32</v>
      </c>
      <c r="H68" s="13" t="s">
        <v>394</v>
      </c>
      <c r="I68" s="13" t="s">
        <v>395</v>
      </c>
      <c r="J68" s="13"/>
      <c r="K68" s="14"/>
      <c r="L68" s="14"/>
    </row>
    <row r="69" spans="1:12" ht="28" x14ac:dyDescent="0.2">
      <c r="A69" s="13" t="s">
        <v>396</v>
      </c>
      <c r="B69" s="13" t="s">
        <v>46</v>
      </c>
      <c r="C69" s="13" t="s">
        <v>169</v>
      </c>
      <c r="D69" s="13" t="s">
        <v>39</v>
      </c>
      <c r="E69" s="13" t="s">
        <v>397</v>
      </c>
      <c r="F69" s="13" t="s">
        <v>126</v>
      </c>
      <c r="G69" s="13" t="s">
        <v>33</v>
      </c>
      <c r="H69" s="13" t="s">
        <v>398</v>
      </c>
      <c r="I69" s="13" t="s">
        <v>399</v>
      </c>
      <c r="J69" s="13"/>
      <c r="K69" s="14"/>
      <c r="L69" s="14"/>
    </row>
    <row r="70" spans="1:12" ht="28" x14ac:dyDescent="0.2">
      <c r="A70" s="13" t="s">
        <v>400</v>
      </c>
      <c r="B70" s="13" t="s">
        <v>48</v>
      </c>
      <c r="C70" s="13" t="s">
        <v>124</v>
      </c>
      <c r="D70" s="13" t="s">
        <v>39</v>
      </c>
      <c r="E70" s="13" t="s">
        <v>401</v>
      </c>
      <c r="F70" s="13" t="s">
        <v>126</v>
      </c>
      <c r="G70" s="13" t="s">
        <v>32</v>
      </c>
      <c r="H70" s="13" t="s">
        <v>402</v>
      </c>
      <c r="I70" s="13" t="s">
        <v>403</v>
      </c>
      <c r="J70" s="13" t="s">
        <v>404</v>
      </c>
      <c r="K70" s="14"/>
      <c r="L70" s="14"/>
    </row>
    <row r="71" spans="1:12" ht="28" x14ac:dyDescent="0.2">
      <c r="A71" s="13" t="s">
        <v>405</v>
      </c>
      <c r="B71" s="13" t="s">
        <v>48</v>
      </c>
      <c r="C71" s="13" t="s">
        <v>124</v>
      </c>
      <c r="D71" s="13" t="s">
        <v>39</v>
      </c>
      <c r="E71" s="13" t="s">
        <v>406</v>
      </c>
      <c r="F71" s="13" t="s">
        <v>183</v>
      </c>
      <c r="G71" s="13" t="s">
        <v>32</v>
      </c>
      <c r="H71" s="13" t="s">
        <v>407</v>
      </c>
      <c r="I71" s="13" t="s">
        <v>408</v>
      </c>
      <c r="J71" s="13"/>
      <c r="K71" s="14"/>
      <c r="L71" s="14"/>
    </row>
    <row r="72" spans="1:12" ht="28" x14ac:dyDescent="0.2">
      <c r="A72" s="13" t="s">
        <v>409</v>
      </c>
      <c r="B72" s="13" t="s">
        <v>48</v>
      </c>
      <c r="C72" s="13" t="s">
        <v>124</v>
      </c>
      <c r="D72" s="13" t="s">
        <v>39</v>
      </c>
      <c r="E72" s="13" t="s">
        <v>410</v>
      </c>
      <c r="F72" s="13" t="s">
        <v>126</v>
      </c>
      <c r="G72" s="13" t="s">
        <v>33</v>
      </c>
      <c r="H72" s="13" t="s">
        <v>411</v>
      </c>
      <c r="I72" s="13" t="s">
        <v>412</v>
      </c>
      <c r="J72" s="13" t="s">
        <v>413</v>
      </c>
      <c r="K72" s="14"/>
      <c r="L72" s="14"/>
    </row>
    <row r="73" spans="1:12" ht="42" x14ac:dyDescent="0.2">
      <c r="A73" s="13" t="s">
        <v>414</v>
      </c>
      <c r="B73" s="13" t="s">
        <v>48</v>
      </c>
      <c r="C73" s="13" t="s">
        <v>124</v>
      </c>
      <c r="D73" s="13" t="s">
        <v>39</v>
      </c>
      <c r="E73" s="13" t="s">
        <v>415</v>
      </c>
      <c r="F73" s="13" t="s">
        <v>183</v>
      </c>
      <c r="G73" s="13" t="s">
        <v>32</v>
      </c>
      <c r="H73" s="13" t="s">
        <v>416</v>
      </c>
      <c r="I73" s="13" t="s">
        <v>417</v>
      </c>
      <c r="J73" s="13"/>
      <c r="K73" s="14"/>
      <c r="L73" s="14"/>
    </row>
    <row r="74" spans="1:12" ht="28" x14ac:dyDescent="0.2">
      <c r="A74" s="13" t="s">
        <v>418</v>
      </c>
      <c r="B74" s="13" t="s">
        <v>48</v>
      </c>
      <c r="C74" s="13" t="s">
        <v>124</v>
      </c>
      <c r="D74" s="13" t="s">
        <v>39</v>
      </c>
      <c r="E74" s="13" t="s">
        <v>419</v>
      </c>
      <c r="F74" s="13" t="s">
        <v>183</v>
      </c>
      <c r="G74" s="13" t="s">
        <v>33</v>
      </c>
      <c r="H74" s="13" t="s">
        <v>420</v>
      </c>
      <c r="I74" s="13" t="s">
        <v>421</v>
      </c>
      <c r="J74" s="13"/>
      <c r="K74" s="14"/>
      <c r="L74" s="14"/>
    </row>
    <row r="75" spans="1:12" ht="28" x14ac:dyDescent="0.2">
      <c r="A75" s="13" t="s">
        <v>422</v>
      </c>
      <c r="B75" s="13" t="s">
        <v>48</v>
      </c>
      <c r="C75" s="13" t="s">
        <v>124</v>
      </c>
      <c r="D75" s="13" t="s">
        <v>39</v>
      </c>
      <c r="E75" s="13" t="s">
        <v>423</v>
      </c>
      <c r="F75" s="13" t="s">
        <v>183</v>
      </c>
      <c r="G75" s="13" t="s">
        <v>33</v>
      </c>
      <c r="H75" s="13" t="s">
        <v>424</v>
      </c>
      <c r="I75" s="13" t="s">
        <v>425</v>
      </c>
      <c r="J75" s="13"/>
      <c r="K75" s="14"/>
      <c r="L75" s="14"/>
    </row>
    <row r="76" spans="1:12" ht="28" x14ac:dyDescent="0.2">
      <c r="A76" s="13" t="s">
        <v>426</v>
      </c>
      <c r="B76" s="13" t="s">
        <v>48</v>
      </c>
      <c r="C76" s="13" t="s">
        <v>124</v>
      </c>
      <c r="D76" s="13" t="s">
        <v>39</v>
      </c>
      <c r="E76" s="13" t="s">
        <v>427</v>
      </c>
      <c r="F76" s="13" t="s">
        <v>126</v>
      </c>
      <c r="G76" s="13" t="s">
        <v>33</v>
      </c>
      <c r="H76" s="13" t="s">
        <v>428</v>
      </c>
      <c r="I76" s="13" t="s">
        <v>429</v>
      </c>
      <c r="J76" s="13"/>
      <c r="K76" s="14"/>
      <c r="L76" s="14"/>
    </row>
    <row r="77" spans="1:12" ht="28" x14ac:dyDescent="0.2">
      <c r="A77" s="13" t="s">
        <v>430</v>
      </c>
      <c r="B77" s="13" t="s">
        <v>48</v>
      </c>
      <c r="C77" s="13" t="s">
        <v>124</v>
      </c>
      <c r="D77" s="13" t="s">
        <v>39</v>
      </c>
      <c r="E77" s="13" t="s">
        <v>431</v>
      </c>
      <c r="F77" s="13" t="s">
        <v>126</v>
      </c>
      <c r="G77" s="13" t="s">
        <v>32</v>
      </c>
      <c r="H77" s="13" t="s">
        <v>432</v>
      </c>
      <c r="I77" s="13" t="s">
        <v>433</v>
      </c>
      <c r="J77" s="13"/>
      <c r="K77" s="14"/>
      <c r="L77" s="14"/>
    </row>
    <row r="78" spans="1:12" ht="28" x14ac:dyDescent="0.2">
      <c r="A78" s="13" t="s">
        <v>434</v>
      </c>
      <c r="B78" s="13" t="s">
        <v>48</v>
      </c>
      <c r="C78" s="13" t="s">
        <v>124</v>
      </c>
      <c r="D78" s="13" t="s">
        <v>39</v>
      </c>
      <c r="E78" s="13" t="s">
        <v>435</v>
      </c>
      <c r="F78" s="13" t="s">
        <v>126</v>
      </c>
      <c r="G78" s="13" t="s">
        <v>33</v>
      </c>
      <c r="H78" s="13" t="s">
        <v>436</v>
      </c>
      <c r="I78" s="13" t="s">
        <v>437</v>
      </c>
      <c r="J78" s="13"/>
      <c r="K78" s="14"/>
      <c r="L78" s="14"/>
    </row>
    <row r="79" spans="1:12" ht="28" x14ac:dyDescent="0.2">
      <c r="A79" s="13" t="s">
        <v>438</v>
      </c>
      <c r="B79" s="13" t="s">
        <v>48</v>
      </c>
      <c r="C79" s="13" t="s">
        <v>124</v>
      </c>
      <c r="D79" s="13" t="s">
        <v>39</v>
      </c>
      <c r="E79" s="13" t="s">
        <v>439</v>
      </c>
      <c r="F79" s="13" t="s">
        <v>183</v>
      </c>
      <c r="G79" s="13" t="s">
        <v>32</v>
      </c>
      <c r="H79" s="13" t="s">
        <v>440</v>
      </c>
      <c r="I79" s="13" t="s">
        <v>441</v>
      </c>
      <c r="J79" s="13"/>
      <c r="K79" s="14"/>
      <c r="L79" s="14"/>
    </row>
    <row r="80" spans="1:12" ht="28" x14ac:dyDescent="0.2">
      <c r="A80" s="13" t="s">
        <v>442</v>
      </c>
      <c r="B80" s="13" t="s">
        <v>48</v>
      </c>
      <c r="C80" s="13" t="s">
        <v>124</v>
      </c>
      <c r="D80" s="13" t="s">
        <v>39</v>
      </c>
      <c r="E80" s="13" t="s">
        <v>443</v>
      </c>
      <c r="F80" s="13" t="s">
        <v>126</v>
      </c>
      <c r="G80" s="13" t="s">
        <v>33</v>
      </c>
      <c r="H80" s="13" t="s">
        <v>444</v>
      </c>
      <c r="I80" s="13" t="s">
        <v>445</v>
      </c>
      <c r="J80" s="13"/>
      <c r="K80" s="14"/>
      <c r="L80" s="14"/>
    </row>
    <row r="81" spans="1:12" ht="28" x14ac:dyDescent="0.2">
      <c r="A81" s="13" t="s">
        <v>446</v>
      </c>
      <c r="B81" s="13" t="s">
        <v>48</v>
      </c>
      <c r="C81" s="13" t="s">
        <v>124</v>
      </c>
      <c r="D81" s="13" t="s">
        <v>39</v>
      </c>
      <c r="E81" s="13" t="s">
        <v>447</v>
      </c>
      <c r="F81" s="13" t="s">
        <v>126</v>
      </c>
      <c r="G81" s="13" t="s">
        <v>32</v>
      </c>
      <c r="H81" s="13" t="s">
        <v>448</v>
      </c>
      <c r="I81" s="13" t="s">
        <v>449</v>
      </c>
      <c r="J81" s="13"/>
      <c r="K81" s="14"/>
      <c r="L81" s="14"/>
    </row>
    <row r="82" spans="1:12" ht="28" x14ac:dyDescent="0.2">
      <c r="A82" s="13" t="s">
        <v>450</v>
      </c>
      <c r="B82" s="13" t="s">
        <v>48</v>
      </c>
      <c r="C82" s="13" t="s">
        <v>124</v>
      </c>
      <c r="D82" s="13" t="s">
        <v>39</v>
      </c>
      <c r="E82" s="13" t="s">
        <v>451</v>
      </c>
      <c r="F82" s="13" t="s">
        <v>126</v>
      </c>
      <c r="G82" s="13" t="s">
        <v>33</v>
      </c>
      <c r="H82" s="13" t="s">
        <v>452</v>
      </c>
      <c r="I82" s="13" t="s">
        <v>453</v>
      </c>
      <c r="J82" s="13"/>
      <c r="K82" s="14"/>
      <c r="L82" s="14"/>
    </row>
    <row r="83" spans="1:12" ht="28" x14ac:dyDescent="0.2">
      <c r="A83" s="13" t="s">
        <v>454</v>
      </c>
      <c r="B83" s="13" t="s">
        <v>48</v>
      </c>
      <c r="C83" s="13" t="s">
        <v>124</v>
      </c>
      <c r="D83" s="13" t="s">
        <v>39</v>
      </c>
      <c r="E83" s="13" t="s">
        <v>455</v>
      </c>
      <c r="F83" s="13" t="s">
        <v>126</v>
      </c>
      <c r="G83" s="13" t="s">
        <v>33</v>
      </c>
      <c r="H83" s="13" t="s">
        <v>456</v>
      </c>
      <c r="I83" s="13" t="s">
        <v>457</v>
      </c>
      <c r="J83" s="13"/>
      <c r="K83" s="14"/>
      <c r="L83" s="14"/>
    </row>
    <row r="84" spans="1:12" ht="28" x14ac:dyDescent="0.2">
      <c r="A84" s="13" t="s">
        <v>458</v>
      </c>
      <c r="B84" s="13" t="s">
        <v>48</v>
      </c>
      <c r="C84" s="13" t="s">
        <v>124</v>
      </c>
      <c r="D84" s="13" t="s">
        <v>39</v>
      </c>
      <c r="E84" s="13" t="s">
        <v>459</v>
      </c>
      <c r="F84" s="13" t="s">
        <v>126</v>
      </c>
      <c r="G84" s="13" t="s">
        <v>32</v>
      </c>
      <c r="H84" s="13" t="s">
        <v>460</v>
      </c>
      <c r="I84" s="13" t="s">
        <v>461</v>
      </c>
      <c r="J84" s="13"/>
      <c r="K84" s="14"/>
      <c r="L84" s="14"/>
    </row>
    <row r="85" spans="1:12" ht="42" x14ac:dyDescent="0.2">
      <c r="A85" s="13" t="s">
        <v>462</v>
      </c>
      <c r="B85" s="13" t="s">
        <v>48</v>
      </c>
      <c r="C85" s="13" t="s">
        <v>124</v>
      </c>
      <c r="D85" s="13" t="s">
        <v>39</v>
      </c>
      <c r="E85" s="13" t="s">
        <v>463</v>
      </c>
      <c r="F85" s="13" t="s">
        <v>126</v>
      </c>
      <c r="G85" s="13" t="s">
        <v>33</v>
      </c>
      <c r="H85" s="13" t="s">
        <v>464</v>
      </c>
      <c r="I85" s="13" t="s">
        <v>465</v>
      </c>
      <c r="J85" s="13" t="s">
        <v>466</v>
      </c>
      <c r="K85" s="14"/>
      <c r="L85" s="14"/>
    </row>
    <row r="86" spans="1:12" ht="28" x14ac:dyDescent="0.2">
      <c r="A86" s="13" t="s">
        <v>467</v>
      </c>
      <c r="B86" s="13" t="s">
        <v>48</v>
      </c>
      <c r="C86" s="13" t="s">
        <v>124</v>
      </c>
      <c r="D86" s="13" t="s">
        <v>39</v>
      </c>
      <c r="E86" s="13" t="s">
        <v>468</v>
      </c>
      <c r="F86" s="13" t="s">
        <v>183</v>
      </c>
      <c r="G86" s="13" t="s">
        <v>33</v>
      </c>
      <c r="H86" s="13" t="s">
        <v>469</v>
      </c>
      <c r="I86" s="13" t="s">
        <v>470</v>
      </c>
      <c r="J86" s="13"/>
      <c r="K86" s="14"/>
      <c r="L86" s="14"/>
    </row>
    <row r="87" spans="1:12" ht="42" x14ac:dyDescent="0.2">
      <c r="A87" s="13" t="s">
        <v>471</v>
      </c>
      <c r="B87" s="13" t="s">
        <v>48</v>
      </c>
      <c r="C87" s="13" t="s">
        <v>124</v>
      </c>
      <c r="D87" s="13" t="s">
        <v>39</v>
      </c>
      <c r="E87" s="13" t="s">
        <v>472</v>
      </c>
      <c r="F87" s="13" t="s">
        <v>126</v>
      </c>
      <c r="G87" s="13" t="s">
        <v>32</v>
      </c>
      <c r="H87" s="13" t="s">
        <v>473</v>
      </c>
      <c r="I87" s="13" t="s">
        <v>474</v>
      </c>
      <c r="J87" s="13"/>
      <c r="K87" s="14"/>
      <c r="L87" s="14"/>
    </row>
    <row r="88" spans="1:12" ht="28" x14ac:dyDescent="0.2">
      <c r="A88" s="13" t="s">
        <v>475</v>
      </c>
      <c r="B88" s="13" t="s">
        <v>48</v>
      </c>
      <c r="C88" s="13" t="s">
        <v>124</v>
      </c>
      <c r="D88" s="13" t="s">
        <v>39</v>
      </c>
      <c r="E88" s="13" t="s">
        <v>476</v>
      </c>
      <c r="F88" s="13" t="s">
        <v>183</v>
      </c>
      <c r="G88" s="13" t="s">
        <v>33</v>
      </c>
      <c r="H88" s="13" t="s">
        <v>477</v>
      </c>
      <c r="I88" s="13" t="s">
        <v>478</v>
      </c>
      <c r="J88" s="13" t="s">
        <v>479</v>
      </c>
      <c r="K88" s="14"/>
      <c r="L88" s="14"/>
    </row>
    <row r="89" spans="1:12" ht="28" x14ac:dyDescent="0.2">
      <c r="A89" s="13" t="s">
        <v>480</v>
      </c>
      <c r="B89" s="13" t="s">
        <v>48</v>
      </c>
      <c r="C89" s="13" t="s">
        <v>124</v>
      </c>
      <c r="D89" s="13" t="s">
        <v>39</v>
      </c>
      <c r="E89" s="13" t="s">
        <v>481</v>
      </c>
      <c r="F89" s="13" t="s">
        <v>126</v>
      </c>
      <c r="G89" s="13" t="s">
        <v>34</v>
      </c>
      <c r="H89" s="13" t="s">
        <v>482</v>
      </c>
      <c r="I89" s="13" t="s">
        <v>483</v>
      </c>
      <c r="J89" s="13"/>
      <c r="K89" s="14"/>
      <c r="L89" s="14"/>
    </row>
    <row r="90" spans="1:12" ht="28" x14ac:dyDescent="0.2">
      <c r="A90" s="13" t="s">
        <v>484</v>
      </c>
      <c r="B90" s="13" t="s">
        <v>48</v>
      </c>
      <c r="C90" s="13" t="s">
        <v>124</v>
      </c>
      <c r="D90" s="13" t="s">
        <v>39</v>
      </c>
      <c r="E90" s="13" t="s">
        <v>485</v>
      </c>
      <c r="F90" s="13" t="s">
        <v>126</v>
      </c>
      <c r="G90" s="13" t="s">
        <v>33</v>
      </c>
      <c r="H90" s="13" t="s">
        <v>486</v>
      </c>
      <c r="I90" s="13" t="s">
        <v>487</v>
      </c>
      <c r="J90" s="13"/>
      <c r="K90" s="14"/>
      <c r="L90" s="14"/>
    </row>
    <row r="91" spans="1:12" ht="28" x14ac:dyDescent="0.2">
      <c r="A91" s="13" t="s">
        <v>488</v>
      </c>
      <c r="B91" s="13" t="s">
        <v>48</v>
      </c>
      <c r="C91" s="13" t="s">
        <v>124</v>
      </c>
      <c r="D91" s="13" t="s">
        <v>39</v>
      </c>
      <c r="E91" s="13" t="s">
        <v>489</v>
      </c>
      <c r="F91" s="13" t="s">
        <v>183</v>
      </c>
      <c r="G91" s="13" t="s">
        <v>33</v>
      </c>
      <c r="H91" s="13" t="s">
        <v>490</v>
      </c>
      <c r="I91" s="13" t="s">
        <v>491</v>
      </c>
      <c r="J91" s="13"/>
      <c r="K91" s="14"/>
      <c r="L91" s="14"/>
    </row>
    <row r="92" spans="1:12" ht="42" x14ac:dyDescent="0.2">
      <c r="A92" s="13" t="s">
        <v>492</v>
      </c>
      <c r="B92" s="13" t="s">
        <v>48</v>
      </c>
      <c r="C92" s="13" t="s">
        <v>124</v>
      </c>
      <c r="D92" s="13" t="s">
        <v>39</v>
      </c>
      <c r="E92" s="13" t="s">
        <v>493</v>
      </c>
      <c r="F92" s="13" t="s">
        <v>126</v>
      </c>
      <c r="G92" s="13" t="s">
        <v>33</v>
      </c>
      <c r="H92" s="13" t="s">
        <v>494</v>
      </c>
      <c r="I92" s="13" t="s">
        <v>495</v>
      </c>
      <c r="J92" s="13"/>
      <c r="K92" s="14"/>
      <c r="L92" s="14"/>
    </row>
    <row r="93" spans="1:12" ht="28" x14ac:dyDescent="0.2">
      <c r="A93" s="13" t="s">
        <v>496</v>
      </c>
      <c r="B93" s="13" t="s">
        <v>48</v>
      </c>
      <c r="C93" s="13" t="s">
        <v>124</v>
      </c>
      <c r="D93" s="13" t="s">
        <v>39</v>
      </c>
      <c r="E93" s="13" t="s">
        <v>497</v>
      </c>
      <c r="F93" s="13" t="s">
        <v>183</v>
      </c>
      <c r="G93" s="13" t="s">
        <v>33</v>
      </c>
      <c r="H93" s="13" t="s">
        <v>498</v>
      </c>
      <c r="I93" s="13" t="s">
        <v>499</v>
      </c>
      <c r="J93" s="13"/>
      <c r="K93" s="14"/>
      <c r="L93" s="14"/>
    </row>
    <row r="94" spans="1:12" ht="28" x14ac:dyDescent="0.2">
      <c r="A94" s="13" t="s">
        <v>500</v>
      </c>
      <c r="B94" s="13" t="s">
        <v>48</v>
      </c>
      <c r="C94" s="13" t="s">
        <v>124</v>
      </c>
      <c r="D94" s="13" t="s">
        <v>39</v>
      </c>
      <c r="E94" s="13" t="s">
        <v>501</v>
      </c>
      <c r="F94" s="13" t="s">
        <v>126</v>
      </c>
      <c r="G94" s="13" t="s">
        <v>34</v>
      </c>
      <c r="H94" s="13" t="s">
        <v>502</v>
      </c>
      <c r="I94" s="13" t="s">
        <v>503</v>
      </c>
      <c r="J94" s="13"/>
      <c r="K94" s="14"/>
      <c r="L94" s="14"/>
    </row>
    <row r="95" spans="1:12" ht="28" x14ac:dyDescent="0.2">
      <c r="A95" s="13" t="s">
        <v>504</v>
      </c>
      <c r="B95" s="13" t="s">
        <v>48</v>
      </c>
      <c r="C95" s="13" t="s">
        <v>124</v>
      </c>
      <c r="D95" s="13" t="s">
        <v>39</v>
      </c>
      <c r="E95" s="13" t="s">
        <v>505</v>
      </c>
      <c r="F95" s="13" t="s">
        <v>183</v>
      </c>
      <c r="G95" s="13" t="s">
        <v>33</v>
      </c>
      <c r="H95" s="13" t="s">
        <v>506</v>
      </c>
      <c r="I95" s="13" t="s">
        <v>507</v>
      </c>
      <c r="J95" s="13"/>
      <c r="K95" s="14"/>
      <c r="L95" s="14"/>
    </row>
    <row r="96" spans="1:12" ht="42" x14ac:dyDescent="0.2">
      <c r="A96" s="13" t="s">
        <v>508</v>
      </c>
      <c r="B96" s="13" t="s">
        <v>48</v>
      </c>
      <c r="C96" s="13" t="s">
        <v>124</v>
      </c>
      <c r="D96" s="13" t="s">
        <v>39</v>
      </c>
      <c r="E96" s="13" t="s">
        <v>509</v>
      </c>
      <c r="F96" s="13" t="s">
        <v>126</v>
      </c>
      <c r="G96" s="13" t="s">
        <v>33</v>
      </c>
      <c r="H96" s="13" t="s">
        <v>510</v>
      </c>
      <c r="I96" s="13" t="s">
        <v>511</v>
      </c>
      <c r="J96" s="13"/>
      <c r="K96" s="14"/>
      <c r="L96" s="14"/>
    </row>
    <row r="97" spans="1:12" ht="42" x14ac:dyDescent="0.2">
      <c r="A97" s="13" t="s">
        <v>512</v>
      </c>
      <c r="B97" s="13" t="s">
        <v>48</v>
      </c>
      <c r="C97" s="13" t="s">
        <v>124</v>
      </c>
      <c r="D97" s="13" t="s">
        <v>39</v>
      </c>
      <c r="E97" s="13" t="s">
        <v>513</v>
      </c>
      <c r="F97" s="13" t="s">
        <v>183</v>
      </c>
      <c r="G97" s="13" t="s">
        <v>33</v>
      </c>
      <c r="H97" s="13" t="s">
        <v>514</v>
      </c>
      <c r="I97" s="13" t="s">
        <v>515</v>
      </c>
      <c r="J97" s="13"/>
      <c r="K97" s="14"/>
      <c r="L97" s="14"/>
    </row>
    <row r="98" spans="1:12" ht="28" x14ac:dyDescent="0.2">
      <c r="A98" s="13" t="s">
        <v>516</v>
      </c>
      <c r="B98" s="13" t="s">
        <v>48</v>
      </c>
      <c r="C98" s="13" t="s">
        <v>124</v>
      </c>
      <c r="D98" s="13" t="s">
        <v>39</v>
      </c>
      <c r="E98" s="13" t="s">
        <v>517</v>
      </c>
      <c r="F98" s="13" t="s">
        <v>183</v>
      </c>
      <c r="G98" s="13" t="s">
        <v>33</v>
      </c>
      <c r="H98" s="13" t="s">
        <v>518</v>
      </c>
      <c r="I98" s="13" t="s">
        <v>519</v>
      </c>
      <c r="J98" s="13"/>
      <c r="K98" s="14"/>
      <c r="L98" s="14"/>
    </row>
    <row r="99" spans="1:12" ht="28" x14ac:dyDescent="0.2">
      <c r="A99" s="13" t="s">
        <v>520</v>
      </c>
      <c r="B99" s="13" t="s">
        <v>48</v>
      </c>
      <c r="C99" s="13" t="s">
        <v>124</v>
      </c>
      <c r="D99" s="13" t="s">
        <v>39</v>
      </c>
      <c r="E99" s="13" t="s">
        <v>517</v>
      </c>
      <c r="F99" s="13" t="s">
        <v>126</v>
      </c>
      <c r="G99" s="13" t="s">
        <v>33</v>
      </c>
      <c r="H99" s="13" t="s">
        <v>521</v>
      </c>
      <c r="I99" s="13" t="s">
        <v>522</v>
      </c>
      <c r="J99" s="13"/>
      <c r="K99" s="14"/>
      <c r="L99" s="14"/>
    </row>
    <row r="100" spans="1:12" ht="42" x14ac:dyDescent="0.2">
      <c r="A100" s="13" t="s">
        <v>523</v>
      </c>
      <c r="B100" s="13" t="s">
        <v>48</v>
      </c>
      <c r="C100" s="13" t="s">
        <v>124</v>
      </c>
      <c r="D100" s="13" t="s">
        <v>39</v>
      </c>
      <c r="E100" s="13" t="s">
        <v>524</v>
      </c>
      <c r="F100" s="13" t="s">
        <v>126</v>
      </c>
      <c r="G100" s="13" t="s">
        <v>33</v>
      </c>
      <c r="H100" s="13" t="s">
        <v>525</v>
      </c>
      <c r="I100" s="13" t="s">
        <v>526</v>
      </c>
      <c r="J100" s="13"/>
      <c r="K100" s="14"/>
      <c r="L100" s="14"/>
    </row>
    <row r="101" spans="1:12" ht="28" x14ac:dyDescent="0.2">
      <c r="A101" s="13" t="s">
        <v>527</v>
      </c>
      <c r="B101" s="13" t="s">
        <v>48</v>
      </c>
      <c r="C101" s="13" t="s">
        <v>124</v>
      </c>
      <c r="D101" s="13" t="s">
        <v>39</v>
      </c>
      <c r="E101" s="13" t="s">
        <v>528</v>
      </c>
      <c r="F101" s="13" t="s">
        <v>183</v>
      </c>
      <c r="G101" s="13" t="s">
        <v>33</v>
      </c>
      <c r="H101" s="13" t="s">
        <v>529</v>
      </c>
      <c r="I101" s="13" t="s">
        <v>530</v>
      </c>
      <c r="J101" s="13"/>
      <c r="K101" s="14"/>
      <c r="L101" s="14"/>
    </row>
    <row r="102" spans="1:12" ht="28" x14ac:dyDescent="0.2">
      <c r="A102" s="13" t="s">
        <v>531</v>
      </c>
      <c r="B102" s="13" t="s">
        <v>48</v>
      </c>
      <c r="C102" s="13" t="s">
        <v>124</v>
      </c>
      <c r="D102" s="13" t="s">
        <v>39</v>
      </c>
      <c r="E102" s="13" t="s">
        <v>532</v>
      </c>
      <c r="F102" s="13" t="s">
        <v>183</v>
      </c>
      <c r="G102" s="13" t="s">
        <v>34</v>
      </c>
      <c r="H102" s="13" t="s">
        <v>533</v>
      </c>
      <c r="I102" s="13" t="s">
        <v>534</v>
      </c>
      <c r="J102" s="13"/>
      <c r="K102" s="14"/>
      <c r="L102" s="14"/>
    </row>
    <row r="103" spans="1:12" x14ac:dyDescent="0.2">
      <c r="A103" s="13" t="s">
        <v>535</v>
      </c>
      <c r="B103" s="13" t="s">
        <v>48</v>
      </c>
      <c r="C103" s="13" t="s">
        <v>169</v>
      </c>
      <c r="D103" s="13" t="s">
        <v>39</v>
      </c>
      <c r="E103" s="13" t="s">
        <v>451</v>
      </c>
      <c r="F103" s="13" t="s">
        <v>183</v>
      </c>
      <c r="G103" s="13" t="s">
        <v>32</v>
      </c>
      <c r="H103" s="13" t="s">
        <v>536</v>
      </c>
      <c r="I103" s="13" t="s">
        <v>537</v>
      </c>
      <c r="J103" s="13"/>
      <c r="K103" s="14"/>
      <c r="L103" s="14"/>
    </row>
    <row r="104" spans="1:12" ht="28" x14ac:dyDescent="0.2">
      <c r="A104" s="13" t="s">
        <v>538</v>
      </c>
      <c r="B104" s="13" t="s">
        <v>48</v>
      </c>
      <c r="C104" s="13" t="s">
        <v>169</v>
      </c>
      <c r="D104" s="13" t="s">
        <v>39</v>
      </c>
      <c r="E104" s="13" t="s">
        <v>476</v>
      </c>
      <c r="F104" s="13" t="s">
        <v>183</v>
      </c>
      <c r="G104" s="13" t="s">
        <v>33</v>
      </c>
      <c r="H104" s="13" t="s">
        <v>539</v>
      </c>
      <c r="I104" s="13" t="s">
        <v>540</v>
      </c>
      <c r="J104" s="13"/>
      <c r="K104" s="14"/>
      <c r="L104" s="14"/>
    </row>
    <row r="105" spans="1:12" ht="28" x14ac:dyDescent="0.2">
      <c r="A105" s="13" t="s">
        <v>541</v>
      </c>
      <c r="B105" s="13" t="s">
        <v>48</v>
      </c>
      <c r="C105" s="13" t="s">
        <v>169</v>
      </c>
      <c r="D105" s="13" t="s">
        <v>39</v>
      </c>
      <c r="E105" s="13" t="s">
        <v>542</v>
      </c>
      <c r="F105" s="13" t="s">
        <v>126</v>
      </c>
      <c r="G105" s="13" t="s">
        <v>33</v>
      </c>
      <c r="H105" s="13" t="s">
        <v>543</v>
      </c>
      <c r="I105" s="13" t="s">
        <v>544</v>
      </c>
      <c r="J105" s="13"/>
      <c r="K105" s="14"/>
      <c r="L105" s="14"/>
    </row>
    <row r="106" spans="1:12" ht="28" x14ac:dyDescent="0.2">
      <c r="A106" s="13" t="s">
        <v>545</v>
      </c>
      <c r="B106" s="13" t="s">
        <v>48</v>
      </c>
      <c r="C106" s="13" t="s">
        <v>169</v>
      </c>
      <c r="D106" s="13" t="s">
        <v>39</v>
      </c>
      <c r="E106" s="13" t="s">
        <v>463</v>
      </c>
      <c r="F106" s="13" t="s">
        <v>183</v>
      </c>
      <c r="G106" s="13" t="s">
        <v>33</v>
      </c>
      <c r="H106" s="13" t="s">
        <v>546</v>
      </c>
      <c r="I106" s="13" t="s">
        <v>547</v>
      </c>
      <c r="J106" s="13"/>
      <c r="K106" s="14"/>
      <c r="L106" s="14"/>
    </row>
    <row r="107" spans="1:12" ht="28" x14ac:dyDescent="0.2">
      <c r="A107" s="13" t="s">
        <v>548</v>
      </c>
      <c r="B107" s="13" t="s">
        <v>48</v>
      </c>
      <c r="C107" s="13" t="s">
        <v>169</v>
      </c>
      <c r="D107" s="13" t="s">
        <v>39</v>
      </c>
      <c r="E107" s="13" t="s">
        <v>549</v>
      </c>
      <c r="F107" s="13" t="s">
        <v>126</v>
      </c>
      <c r="G107" s="13" t="s">
        <v>33</v>
      </c>
      <c r="H107" s="13" t="s">
        <v>550</v>
      </c>
      <c r="I107" s="13" t="s">
        <v>551</v>
      </c>
      <c r="J107" s="13"/>
      <c r="K107" s="14"/>
      <c r="L107" s="14"/>
    </row>
    <row r="108" spans="1:12" ht="28" x14ac:dyDescent="0.2">
      <c r="A108" s="13" t="s">
        <v>552</v>
      </c>
      <c r="B108" s="13" t="s">
        <v>48</v>
      </c>
      <c r="C108" s="13" t="s">
        <v>169</v>
      </c>
      <c r="D108" s="13" t="s">
        <v>39</v>
      </c>
      <c r="E108" s="13" t="s">
        <v>553</v>
      </c>
      <c r="F108" s="13" t="s">
        <v>126</v>
      </c>
      <c r="G108" s="13" t="s">
        <v>33</v>
      </c>
      <c r="H108" s="13" t="s">
        <v>554</v>
      </c>
      <c r="I108" s="13" t="s">
        <v>555</v>
      </c>
      <c r="J108" s="13"/>
      <c r="K108" s="14"/>
      <c r="L108" s="14"/>
    </row>
    <row r="109" spans="1:12" ht="28" x14ac:dyDescent="0.2">
      <c r="A109" s="13" t="s">
        <v>556</v>
      </c>
      <c r="B109" s="13" t="s">
        <v>48</v>
      </c>
      <c r="C109" s="13" t="s">
        <v>169</v>
      </c>
      <c r="D109" s="13" t="s">
        <v>39</v>
      </c>
      <c r="E109" s="13" t="s">
        <v>557</v>
      </c>
      <c r="F109" s="13" t="s">
        <v>126</v>
      </c>
      <c r="G109" s="13" t="s">
        <v>32</v>
      </c>
      <c r="H109" s="13" t="s">
        <v>558</v>
      </c>
      <c r="I109" s="13" t="s">
        <v>559</v>
      </c>
      <c r="J109" s="13"/>
      <c r="K109" s="14"/>
      <c r="L109" s="14"/>
    </row>
    <row r="110" spans="1:12" ht="28" x14ac:dyDescent="0.2">
      <c r="A110" s="13" t="s">
        <v>560</v>
      </c>
      <c r="B110" s="13" t="s">
        <v>48</v>
      </c>
      <c r="C110" s="13" t="s">
        <v>169</v>
      </c>
      <c r="D110" s="13" t="s">
        <v>39</v>
      </c>
      <c r="E110" s="13" t="s">
        <v>561</v>
      </c>
      <c r="F110" s="13" t="s">
        <v>126</v>
      </c>
      <c r="G110" s="13" t="s">
        <v>32</v>
      </c>
      <c r="H110" s="13" t="s">
        <v>562</v>
      </c>
      <c r="I110" s="13" t="s">
        <v>563</v>
      </c>
      <c r="J110" s="13"/>
      <c r="K110" s="14"/>
      <c r="L110" s="14"/>
    </row>
    <row r="111" spans="1:12" ht="28" x14ac:dyDescent="0.2">
      <c r="A111" s="13" t="s">
        <v>564</v>
      </c>
      <c r="B111" s="13" t="s">
        <v>48</v>
      </c>
      <c r="C111" s="13" t="s">
        <v>169</v>
      </c>
      <c r="D111" s="13" t="s">
        <v>39</v>
      </c>
      <c r="E111" s="13" t="s">
        <v>565</v>
      </c>
      <c r="F111" s="13" t="s">
        <v>183</v>
      </c>
      <c r="G111" s="13" t="s">
        <v>32</v>
      </c>
      <c r="H111" s="13" t="s">
        <v>566</v>
      </c>
      <c r="I111" s="13" t="s">
        <v>567</v>
      </c>
      <c r="J111" s="13"/>
      <c r="K111" s="14"/>
      <c r="L111" s="14"/>
    </row>
    <row r="112" spans="1:12" ht="42" x14ac:dyDescent="0.2">
      <c r="A112" s="13" t="s">
        <v>568</v>
      </c>
      <c r="B112" s="13" t="s">
        <v>48</v>
      </c>
      <c r="C112" s="13" t="s">
        <v>169</v>
      </c>
      <c r="D112" s="13" t="s">
        <v>39</v>
      </c>
      <c r="E112" s="13" t="s">
        <v>569</v>
      </c>
      <c r="F112" s="13" t="s">
        <v>183</v>
      </c>
      <c r="G112" s="13" t="s">
        <v>33</v>
      </c>
      <c r="H112" s="13" t="s">
        <v>570</v>
      </c>
      <c r="I112" s="13" t="s">
        <v>571</v>
      </c>
      <c r="J112" s="13"/>
      <c r="K112" s="14"/>
      <c r="L112" s="14"/>
    </row>
    <row r="113" spans="1:12" ht="28" x14ac:dyDescent="0.2">
      <c r="A113" s="13" t="s">
        <v>572</v>
      </c>
      <c r="B113" s="13" t="s">
        <v>48</v>
      </c>
      <c r="C113" s="13" t="s">
        <v>169</v>
      </c>
      <c r="D113" s="13" t="s">
        <v>39</v>
      </c>
      <c r="E113" s="13" t="s">
        <v>573</v>
      </c>
      <c r="F113" s="13" t="s">
        <v>183</v>
      </c>
      <c r="G113" s="13" t="s">
        <v>32</v>
      </c>
      <c r="H113" s="13" t="s">
        <v>574</v>
      </c>
      <c r="I113" s="13" t="s">
        <v>575</v>
      </c>
      <c r="J113" s="13"/>
      <c r="K113" s="14"/>
      <c r="L113" s="14"/>
    </row>
    <row r="114" spans="1:12" ht="28" x14ac:dyDescent="0.2">
      <c r="A114" s="13" t="s">
        <v>576</v>
      </c>
      <c r="B114" s="13" t="s">
        <v>48</v>
      </c>
      <c r="C114" s="13" t="s">
        <v>169</v>
      </c>
      <c r="D114" s="13" t="s">
        <v>39</v>
      </c>
      <c r="E114" s="13" t="s">
        <v>577</v>
      </c>
      <c r="F114" s="13" t="s">
        <v>183</v>
      </c>
      <c r="G114" s="13" t="s">
        <v>33</v>
      </c>
      <c r="H114" s="13" t="s">
        <v>578</v>
      </c>
      <c r="I114" s="13" t="s">
        <v>579</v>
      </c>
      <c r="J114" s="13"/>
      <c r="K114" s="14"/>
      <c r="L114" s="14"/>
    </row>
    <row r="115" spans="1:12" ht="28" x14ac:dyDescent="0.2">
      <c r="A115" s="13" t="s">
        <v>580</v>
      </c>
      <c r="B115" s="13" t="s">
        <v>48</v>
      </c>
      <c r="C115" s="13" t="s">
        <v>169</v>
      </c>
      <c r="D115" s="13" t="s">
        <v>39</v>
      </c>
      <c r="E115" s="13" t="s">
        <v>581</v>
      </c>
      <c r="F115" s="13" t="s">
        <v>183</v>
      </c>
      <c r="G115" s="13" t="s">
        <v>33</v>
      </c>
      <c r="H115" s="13" t="s">
        <v>582</v>
      </c>
      <c r="I115" s="13" t="s">
        <v>583</v>
      </c>
      <c r="J115" s="13"/>
      <c r="K115" s="14"/>
      <c r="L115" s="14"/>
    </row>
    <row r="116" spans="1:12" ht="28" x14ac:dyDescent="0.2">
      <c r="A116" s="13" t="s">
        <v>584</v>
      </c>
      <c r="B116" s="13" t="s">
        <v>48</v>
      </c>
      <c r="C116" s="13" t="s">
        <v>169</v>
      </c>
      <c r="D116" s="13" t="s">
        <v>39</v>
      </c>
      <c r="E116" s="13" t="s">
        <v>585</v>
      </c>
      <c r="F116" s="13" t="s">
        <v>183</v>
      </c>
      <c r="G116" s="13" t="s">
        <v>33</v>
      </c>
      <c r="H116" s="13" t="s">
        <v>586</v>
      </c>
      <c r="I116" s="13" t="s">
        <v>587</v>
      </c>
      <c r="J116" s="13"/>
      <c r="K116" s="14"/>
      <c r="L116" s="14"/>
    </row>
    <row r="117" spans="1:12" ht="28" x14ac:dyDescent="0.2">
      <c r="A117" s="13" t="s">
        <v>588</v>
      </c>
      <c r="B117" s="13" t="s">
        <v>48</v>
      </c>
      <c r="C117" s="13" t="s">
        <v>169</v>
      </c>
      <c r="D117" s="13" t="s">
        <v>39</v>
      </c>
      <c r="E117" s="13" t="s">
        <v>589</v>
      </c>
      <c r="F117" s="13" t="s">
        <v>126</v>
      </c>
      <c r="G117" s="13" t="s">
        <v>33</v>
      </c>
      <c r="H117" s="13" t="s">
        <v>590</v>
      </c>
      <c r="I117" s="13" t="s">
        <v>591</v>
      </c>
      <c r="J117" s="13"/>
      <c r="K117" s="14"/>
      <c r="L117" s="14"/>
    </row>
    <row r="118" spans="1:12" ht="42" x14ac:dyDescent="0.2">
      <c r="A118" s="13" t="s">
        <v>592</v>
      </c>
      <c r="B118" s="13" t="s">
        <v>48</v>
      </c>
      <c r="C118" s="13" t="s">
        <v>169</v>
      </c>
      <c r="D118" s="13" t="s">
        <v>39</v>
      </c>
      <c r="E118" s="13" t="s">
        <v>593</v>
      </c>
      <c r="F118" s="13" t="s">
        <v>126</v>
      </c>
      <c r="G118" s="13" t="s">
        <v>34</v>
      </c>
      <c r="H118" s="13" t="s">
        <v>594</v>
      </c>
      <c r="I118" s="13" t="s">
        <v>595</v>
      </c>
      <c r="J118" s="13"/>
      <c r="K118" s="14"/>
      <c r="L118" s="14"/>
    </row>
    <row r="119" spans="1:12" x14ac:dyDescent="0.2">
      <c r="A119" s="13" t="s">
        <v>596</v>
      </c>
      <c r="B119" s="13" t="s">
        <v>48</v>
      </c>
      <c r="C119" s="13" t="s">
        <v>169</v>
      </c>
      <c r="D119" s="13" t="s">
        <v>39</v>
      </c>
      <c r="E119" s="13" t="s">
        <v>597</v>
      </c>
      <c r="F119" s="13" t="s">
        <v>183</v>
      </c>
      <c r="G119" s="13" t="s">
        <v>32</v>
      </c>
      <c r="H119" s="13" t="s">
        <v>598</v>
      </c>
      <c r="I119" s="13" t="s">
        <v>599</v>
      </c>
      <c r="J119" s="13"/>
      <c r="K119" s="14"/>
      <c r="L119" s="14"/>
    </row>
    <row r="120" spans="1:12" ht="28" x14ac:dyDescent="0.2">
      <c r="A120" s="13" t="s">
        <v>600</v>
      </c>
      <c r="B120" s="13" t="s">
        <v>48</v>
      </c>
      <c r="C120" s="13" t="s">
        <v>169</v>
      </c>
      <c r="D120" s="13" t="s">
        <v>39</v>
      </c>
      <c r="E120" s="13" t="s">
        <v>513</v>
      </c>
      <c r="F120" s="13" t="s">
        <v>183</v>
      </c>
      <c r="G120" s="13" t="s">
        <v>33</v>
      </c>
      <c r="H120" s="13" t="s">
        <v>601</v>
      </c>
      <c r="I120" s="13" t="s">
        <v>602</v>
      </c>
      <c r="J120" s="13"/>
      <c r="K120" s="14"/>
      <c r="L120" s="14"/>
    </row>
    <row r="121" spans="1:12" ht="28" x14ac:dyDescent="0.2">
      <c r="A121" s="13" t="s">
        <v>603</v>
      </c>
      <c r="B121" s="13" t="s">
        <v>48</v>
      </c>
      <c r="C121" s="13" t="s">
        <v>169</v>
      </c>
      <c r="D121" s="13" t="s">
        <v>39</v>
      </c>
      <c r="E121" s="13" t="s">
        <v>604</v>
      </c>
      <c r="F121" s="13" t="s">
        <v>126</v>
      </c>
      <c r="G121" s="13" t="s">
        <v>33</v>
      </c>
      <c r="H121" s="13" t="s">
        <v>605</v>
      </c>
      <c r="I121" s="13" t="s">
        <v>606</v>
      </c>
      <c r="J121" s="13"/>
      <c r="K121" s="14"/>
      <c r="L121" s="14"/>
    </row>
    <row r="122" spans="1:12" ht="28" x14ac:dyDescent="0.2">
      <c r="A122" s="13" t="s">
        <v>607</v>
      </c>
      <c r="B122" s="13" t="s">
        <v>48</v>
      </c>
      <c r="C122" s="13" t="s">
        <v>169</v>
      </c>
      <c r="D122" s="13" t="s">
        <v>39</v>
      </c>
      <c r="E122" s="13" t="s">
        <v>608</v>
      </c>
      <c r="F122" s="13" t="s">
        <v>183</v>
      </c>
      <c r="G122" s="13" t="s">
        <v>34</v>
      </c>
      <c r="H122" s="13" t="s">
        <v>609</v>
      </c>
      <c r="I122" s="13" t="s">
        <v>610</v>
      </c>
      <c r="J122" s="13"/>
      <c r="K122" s="14"/>
      <c r="L122" s="14"/>
    </row>
    <row r="123" spans="1:12" ht="28" x14ac:dyDescent="0.2">
      <c r="A123" s="13" t="s">
        <v>611</v>
      </c>
      <c r="B123" s="13" t="s">
        <v>48</v>
      </c>
      <c r="C123" s="13" t="s">
        <v>169</v>
      </c>
      <c r="D123" s="13" t="s">
        <v>39</v>
      </c>
      <c r="E123" s="13" t="s">
        <v>612</v>
      </c>
      <c r="F123" s="13" t="s">
        <v>183</v>
      </c>
      <c r="G123" s="13" t="s">
        <v>33</v>
      </c>
      <c r="H123" s="13" t="s">
        <v>613</v>
      </c>
      <c r="I123" s="13" t="s">
        <v>614</v>
      </c>
      <c r="J123" s="13"/>
      <c r="K123" s="14"/>
      <c r="L123" s="14"/>
    </row>
    <row r="124" spans="1:12" ht="28" x14ac:dyDescent="0.2">
      <c r="A124" s="13" t="s">
        <v>615</v>
      </c>
      <c r="B124" s="13" t="s">
        <v>50</v>
      </c>
      <c r="C124" s="13" t="s">
        <v>124</v>
      </c>
      <c r="D124" s="13" t="s">
        <v>52</v>
      </c>
      <c r="E124" s="13" t="s">
        <v>616</v>
      </c>
      <c r="F124" s="13" t="s">
        <v>126</v>
      </c>
      <c r="G124" s="13" t="s">
        <v>32</v>
      </c>
      <c r="H124" s="13" t="s">
        <v>617</v>
      </c>
      <c r="I124" s="13" t="s">
        <v>618</v>
      </c>
      <c r="J124" s="13"/>
      <c r="K124" s="14"/>
      <c r="L124" s="14"/>
    </row>
    <row r="125" spans="1:12" ht="28" x14ac:dyDescent="0.2">
      <c r="A125" s="13" t="s">
        <v>619</v>
      </c>
      <c r="B125" s="13" t="s">
        <v>50</v>
      </c>
      <c r="C125" s="13" t="s">
        <v>124</v>
      </c>
      <c r="D125" s="13" t="s">
        <v>52</v>
      </c>
      <c r="E125" s="13" t="s">
        <v>620</v>
      </c>
      <c r="F125" s="13" t="s">
        <v>126</v>
      </c>
      <c r="G125" s="13" t="s">
        <v>33</v>
      </c>
      <c r="H125" s="13" t="s">
        <v>621</v>
      </c>
      <c r="I125" s="13" t="s">
        <v>622</v>
      </c>
      <c r="J125" s="13"/>
      <c r="K125" s="14"/>
      <c r="L125" s="14"/>
    </row>
    <row r="126" spans="1:12" ht="42" x14ac:dyDescent="0.2">
      <c r="A126" s="13" t="s">
        <v>623</v>
      </c>
      <c r="B126" s="13" t="s">
        <v>50</v>
      </c>
      <c r="C126" s="13" t="s">
        <v>124</v>
      </c>
      <c r="D126" s="13" t="s">
        <v>52</v>
      </c>
      <c r="E126" s="13" t="s">
        <v>624</v>
      </c>
      <c r="F126" s="13" t="s">
        <v>126</v>
      </c>
      <c r="G126" s="13" t="s">
        <v>32</v>
      </c>
      <c r="H126" s="13" t="s">
        <v>625</v>
      </c>
      <c r="I126" s="13" t="s">
        <v>626</v>
      </c>
      <c r="J126" s="13"/>
      <c r="K126" s="14"/>
      <c r="L126" s="14"/>
    </row>
    <row r="127" spans="1:12" ht="28" x14ac:dyDescent="0.2">
      <c r="A127" s="13" t="s">
        <v>627</v>
      </c>
      <c r="B127" s="13" t="s">
        <v>50</v>
      </c>
      <c r="C127" s="13" t="s">
        <v>124</v>
      </c>
      <c r="D127" s="13" t="s">
        <v>52</v>
      </c>
      <c r="E127" s="13" t="s">
        <v>628</v>
      </c>
      <c r="F127" s="13" t="s">
        <v>183</v>
      </c>
      <c r="G127" s="13" t="s">
        <v>33</v>
      </c>
      <c r="H127" s="13" t="s">
        <v>629</v>
      </c>
      <c r="I127" s="13" t="s">
        <v>630</v>
      </c>
      <c r="J127" s="13"/>
      <c r="K127" s="14"/>
      <c r="L127" s="14"/>
    </row>
    <row r="128" spans="1:12" ht="28" x14ac:dyDescent="0.2">
      <c r="A128" s="13" t="s">
        <v>631</v>
      </c>
      <c r="B128" s="13" t="s">
        <v>50</v>
      </c>
      <c r="C128" s="13" t="s">
        <v>124</v>
      </c>
      <c r="D128" s="13" t="s">
        <v>52</v>
      </c>
      <c r="E128" s="13" t="s">
        <v>632</v>
      </c>
      <c r="F128" s="13" t="s">
        <v>126</v>
      </c>
      <c r="G128" s="13" t="s">
        <v>33</v>
      </c>
      <c r="H128" s="13" t="s">
        <v>633</v>
      </c>
      <c r="I128" s="13" t="s">
        <v>634</v>
      </c>
      <c r="J128" s="13"/>
      <c r="K128" s="14"/>
      <c r="L128" s="14"/>
    </row>
    <row r="129" spans="1:12" ht="28" x14ac:dyDescent="0.2">
      <c r="A129" s="13" t="s">
        <v>635</v>
      </c>
      <c r="B129" s="13" t="s">
        <v>50</v>
      </c>
      <c r="C129" s="13" t="s">
        <v>124</v>
      </c>
      <c r="D129" s="13" t="s">
        <v>52</v>
      </c>
      <c r="E129" s="13" t="s">
        <v>636</v>
      </c>
      <c r="F129" s="13" t="s">
        <v>183</v>
      </c>
      <c r="G129" s="13" t="s">
        <v>33</v>
      </c>
      <c r="H129" s="13" t="s">
        <v>637</v>
      </c>
      <c r="I129" s="13" t="s">
        <v>638</v>
      </c>
      <c r="J129" s="13"/>
      <c r="K129" s="14"/>
      <c r="L129" s="14"/>
    </row>
    <row r="130" spans="1:12" ht="28" x14ac:dyDescent="0.2">
      <c r="A130" s="13" t="s">
        <v>639</v>
      </c>
      <c r="B130" s="13" t="s">
        <v>50</v>
      </c>
      <c r="C130" s="13" t="s">
        <v>124</v>
      </c>
      <c r="D130" s="13" t="s">
        <v>52</v>
      </c>
      <c r="E130" s="13" t="s">
        <v>640</v>
      </c>
      <c r="F130" s="13" t="s">
        <v>126</v>
      </c>
      <c r="G130" s="13" t="s">
        <v>33</v>
      </c>
      <c r="H130" s="13" t="s">
        <v>641</v>
      </c>
      <c r="I130" s="13" t="s">
        <v>642</v>
      </c>
      <c r="J130" s="13"/>
      <c r="K130" s="14"/>
      <c r="L130" s="14"/>
    </row>
    <row r="131" spans="1:12" ht="42" x14ac:dyDescent="0.2">
      <c r="A131" s="13" t="s">
        <v>643</v>
      </c>
      <c r="B131" s="13" t="s">
        <v>50</v>
      </c>
      <c r="C131" s="13" t="s">
        <v>124</v>
      </c>
      <c r="D131" s="13" t="s">
        <v>52</v>
      </c>
      <c r="E131" s="13" t="s">
        <v>644</v>
      </c>
      <c r="F131" s="13" t="s">
        <v>126</v>
      </c>
      <c r="G131" s="13" t="s">
        <v>33</v>
      </c>
      <c r="H131" s="13" t="s">
        <v>645</v>
      </c>
      <c r="I131" s="13" t="s">
        <v>646</v>
      </c>
      <c r="J131" s="13"/>
      <c r="K131" s="14"/>
      <c r="L131" s="14"/>
    </row>
    <row r="132" spans="1:12" ht="42" x14ac:dyDescent="0.2">
      <c r="A132" s="13" t="s">
        <v>647</v>
      </c>
      <c r="B132" s="13" t="s">
        <v>50</v>
      </c>
      <c r="C132" s="13" t="s">
        <v>124</v>
      </c>
      <c r="D132" s="13" t="s">
        <v>52</v>
      </c>
      <c r="E132" s="13" t="s">
        <v>648</v>
      </c>
      <c r="F132" s="13" t="s">
        <v>126</v>
      </c>
      <c r="G132" s="13" t="s">
        <v>33</v>
      </c>
      <c r="H132" s="13" t="s">
        <v>649</v>
      </c>
      <c r="I132" s="13" t="s">
        <v>650</v>
      </c>
      <c r="J132" s="13"/>
      <c r="K132" s="14"/>
      <c r="L132" s="14"/>
    </row>
    <row r="133" spans="1:12" ht="28" x14ac:dyDescent="0.2">
      <c r="A133" s="13" t="s">
        <v>651</v>
      </c>
      <c r="B133" s="13" t="s">
        <v>50</v>
      </c>
      <c r="C133" s="13" t="s">
        <v>124</v>
      </c>
      <c r="D133" s="13" t="s">
        <v>52</v>
      </c>
      <c r="E133" s="13" t="s">
        <v>652</v>
      </c>
      <c r="F133" s="13" t="s">
        <v>183</v>
      </c>
      <c r="G133" s="13" t="s">
        <v>34</v>
      </c>
      <c r="H133" s="13" t="s">
        <v>653</v>
      </c>
      <c r="I133" s="13" t="s">
        <v>654</v>
      </c>
      <c r="J133" s="13"/>
      <c r="K133" s="14"/>
      <c r="L133" s="14"/>
    </row>
    <row r="134" spans="1:12" ht="28" x14ac:dyDescent="0.2">
      <c r="A134" s="13" t="s">
        <v>655</v>
      </c>
      <c r="B134" s="13" t="s">
        <v>50</v>
      </c>
      <c r="C134" s="13" t="s">
        <v>124</v>
      </c>
      <c r="D134" s="13" t="s">
        <v>52</v>
      </c>
      <c r="E134" s="13" t="s">
        <v>656</v>
      </c>
      <c r="F134" s="13" t="s">
        <v>126</v>
      </c>
      <c r="G134" s="13" t="s">
        <v>34</v>
      </c>
      <c r="H134" s="13" t="s">
        <v>657</v>
      </c>
      <c r="I134" s="13" t="s">
        <v>658</v>
      </c>
      <c r="J134" s="13"/>
      <c r="K134" s="14"/>
      <c r="L134" s="14"/>
    </row>
    <row r="135" spans="1:12" ht="28" x14ac:dyDescent="0.2">
      <c r="A135" s="13" t="s">
        <v>659</v>
      </c>
      <c r="B135" s="13" t="s">
        <v>50</v>
      </c>
      <c r="C135" s="13" t="s">
        <v>124</v>
      </c>
      <c r="D135" s="13" t="s">
        <v>52</v>
      </c>
      <c r="E135" s="13" t="s">
        <v>660</v>
      </c>
      <c r="F135" s="13" t="s">
        <v>126</v>
      </c>
      <c r="G135" s="13" t="s">
        <v>34</v>
      </c>
      <c r="H135" s="13" t="s">
        <v>661</v>
      </c>
      <c r="I135" s="13" t="s">
        <v>662</v>
      </c>
      <c r="J135" s="13"/>
      <c r="K135" s="14"/>
      <c r="L135" s="14"/>
    </row>
    <row r="136" spans="1:12" ht="28" x14ac:dyDescent="0.2">
      <c r="A136" s="13" t="s">
        <v>663</v>
      </c>
      <c r="B136" s="13" t="s">
        <v>50</v>
      </c>
      <c r="C136" s="13" t="s">
        <v>169</v>
      </c>
      <c r="D136" s="13" t="s">
        <v>52</v>
      </c>
      <c r="E136" s="13" t="s">
        <v>664</v>
      </c>
      <c r="F136" s="13" t="s">
        <v>126</v>
      </c>
      <c r="G136" s="13" t="s">
        <v>32</v>
      </c>
      <c r="H136" s="13" t="s">
        <v>665</v>
      </c>
      <c r="I136" s="13" t="s">
        <v>666</v>
      </c>
      <c r="J136" s="13"/>
      <c r="K136" s="14"/>
      <c r="L136" s="14"/>
    </row>
    <row r="137" spans="1:12" ht="28" x14ac:dyDescent="0.2">
      <c r="A137" s="13" t="s">
        <v>667</v>
      </c>
      <c r="B137" s="13" t="s">
        <v>50</v>
      </c>
      <c r="C137" s="13" t="s">
        <v>169</v>
      </c>
      <c r="D137" s="13" t="s">
        <v>52</v>
      </c>
      <c r="E137" s="13" t="s">
        <v>668</v>
      </c>
      <c r="F137" s="13" t="s">
        <v>126</v>
      </c>
      <c r="G137" s="13" t="s">
        <v>32</v>
      </c>
      <c r="H137" s="13" t="s">
        <v>669</v>
      </c>
      <c r="I137" s="13" t="s">
        <v>670</v>
      </c>
      <c r="J137" s="13"/>
      <c r="K137" s="14"/>
      <c r="L137" s="14"/>
    </row>
    <row r="138" spans="1:12" ht="28" x14ac:dyDescent="0.2">
      <c r="A138" s="13" t="s">
        <v>671</v>
      </c>
      <c r="B138" s="13" t="s">
        <v>50</v>
      </c>
      <c r="C138" s="13" t="s">
        <v>169</v>
      </c>
      <c r="D138" s="13" t="s">
        <v>52</v>
      </c>
      <c r="E138" s="13" t="s">
        <v>672</v>
      </c>
      <c r="F138" s="13" t="s">
        <v>126</v>
      </c>
      <c r="G138" s="13" t="s">
        <v>32</v>
      </c>
      <c r="H138" s="13" t="s">
        <v>673</v>
      </c>
      <c r="I138" s="13" t="s">
        <v>674</v>
      </c>
      <c r="J138" s="13"/>
      <c r="K138" s="14"/>
      <c r="L138" s="14"/>
    </row>
    <row r="139" spans="1:12" ht="28" x14ac:dyDescent="0.2">
      <c r="A139" s="13" t="s">
        <v>675</v>
      </c>
      <c r="B139" s="13" t="s">
        <v>50</v>
      </c>
      <c r="C139" s="13" t="s">
        <v>169</v>
      </c>
      <c r="D139" s="13" t="s">
        <v>52</v>
      </c>
      <c r="E139" s="13" t="s">
        <v>676</v>
      </c>
      <c r="F139" s="13" t="s">
        <v>126</v>
      </c>
      <c r="G139" s="13" t="s">
        <v>32</v>
      </c>
      <c r="H139" s="13" t="s">
        <v>677</v>
      </c>
      <c r="I139" s="13" t="s">
        <v>678</v>
      </c>
      <c r="J139" s="13"/>
      <c r="K139" s="14"/>
      <c r="L139" s="14"/>
    </row>
    <row r="140" spans="1:12" ht="28" x14ac:dyDescent="0.2">
      <c r="A140" s="13" t="s">
        <v>679</v>
      </c>
      <c r="B140" s="13" t="s">
        <v>50</v>
      </c>
      <c r="C140" s="13" t="s">
        <v>169</v>
      </c>
      <c r="D140" s="13" t="s">
        <v>52</v>
      </c>
      <c r="E140" s="13" t="s">
        <v>680</v>
      </c>
      <c r="F140" s="13" t="s">
        <v>126</v>
      </c>
      <c r="G140" s="13" t="s">
        <v>32</v>
      </c>
      <c r="H140" s="13" t="s">
        <v>681</v>
      </c>
      <c r="I140" s="13" t="s">
        <v>682</v>
      </c>
      <c r="J140" s="13"/>
      <c r="K140" s="14"/>
      <c r="L140" s="14"/>
    </row>
    <row r="141" spans="1:12" ht="28" x14ac:dyDescent="0.2">
      <c r="A141" s="13" t="s">
        <v>683</v>
      </c>
      <c r="B141" s="13" t="s">
        <v>50</v>
      </c>
      <c r="C141" s="13" t="s">
        <v>169</v>
      </c>
      <c r="D141" s="13" t="s">
        <v>52</v>
      </c>
      <c r="E141" s="13" t="s">
        <v>684</v>
      </c>
      <c r="F141" s="13" t="s">
        <v>183</v>
      </c>
      <c r="G141" s="13" t="s">
        <v>32</v>
      </c>
      <c r="H141" s="13" t="s">
        <v>685</v>
      </c>
      <c r="I141" s="13" t="s">
        <v>686</v>
      </c>
      <c r="J141" s="13"/>
      <c r="K141" s="14"/>
      <c r="L141" s="14"/>
    </row>
    <row r="142" spans="1:12" ht="28" x14ac:dyDescent="0.2">
      <c r="A142" s="13" t="s">
        <v>687</v>
      </c>
      <c r="B142" s="13" t="s">
        <v>50</v>
      </c>
      <c r="C142" s="13" t="s">
        <v>169</v>
      </c>
      <c r="D142" s="13" t="s">
        <v>52</v>
      </c>
      <c r="E142" s="13" t="s">
        <v>688</v>
      </c>
      <c r="F142" s="13" t="s">
        <v>126</v>
      </c>
      <c r="G142" s="13" t="s">
        <v>32</v>
      </c>
      <c r="H142" s="13" t="s">
        <v>689</v>
      </c>
      <c r="I142" s="13" t="s">
        <v>690</v>
      </c>
      <c r="J142" s="13"/>
      <c r="K142" s="14"/>
      <c r="L142" s="14"/>
    </row>
    <row r="143" spans="1:12" ht="28" x14ac:dyDescent="0.2">
      <c r="A143" s="13" t="s">
        <v>691</v>
      </c>
      <c r="B143" s="13" t="s">
        <v>50</v>
      </c>
      <c r="C143" s="13" t="s">
        <v>169</v>
      </c>
      <c r="D143" s="13" t="s">
        <v>52</v>
      </c>
      <c r="E143" s="13" t="s">
        <v>640</v>
      </c>
      <c r="F143" s="13" t="s">
        <v>126</v>
      </c>
      <c r="G143" s="13" t="s">
        <v>32</v>
      </c>
      <c r="H143" s="13" t="s">
        <v>692</v>
      </c>
      <c r="I143" s="13" t="s">
        <v>693</v>
      </c>
      <c r="J143" s="13"/>
      <c r="K143" s="14"/>
      <c r="L143" s="14"/>
    </row>
    <row r="144" spans="1:12" ht="28" x14ac:dyDescent="0.2">
      <c r="A144" s="13" t="s">
        <v>694</v>
      </c>
      <c r="B144" s="13" t="s">
        <v>50</v>
      </c>
      <c r="C144" s="13" t="s">
        <v>169</v>
      </c>
      <c r="D144" s="13" t="s">
        <v>52</v>
      </c>
      <c r="E144" s="13" t="s">
        <v>620</v>
      </c>
      <c r="F144" s="13" t="s">
        <v>126</v>
      </c>
      <c r="G144" s="13" t="s">
        <v>32</v>
      </c>
      <c r="H144" s="13" t="s">
        <v>695</v>
      </c>
      <c r="I144" s="13" t="s">
        <v>696</v>
      </c>
      <c r="J144" s="13"/>
      <c r="K144" s="14"/>
      <c r="L144" s="14"/>
    </row>
    <row r="145" spans="1:12" ht="28" x14ac:dyDescent="0.2">
      <c r="A145" s="13" t="s">
        <v>697</v>
      </c>
      <c r="B145" s="13" t="s">
        <v>50</v>
      </c>
      <c r="C145" s="13" t="s">
        <v>169</v>
      </c>
      <c r="D145" s="13" t="s">
        <v>52</v>
      </c>
      <c r="E145" s="13" t="s">
        <v>698</v>
      </c>
      <c r="F145" s="13" t="s">
        <v>183</v>
      </c>
      <c r="G145" s="13" t="s">
        <v>32</v>
      </c>
      <c r="H145" s="13" t="s">
        <v>699</v>
      </c>
      <c r="I145" s="13" t="s">
        <v>700</v>
      </c>
      <c r="J145" s="13"/>
      <c r="K145" s="14"/>
      <c r="L145" s="14"/>
    </row>
    <row r="146" spans="1:12" ht="28" x14ac:dyDescent="0.2">
      <c r="A146" s="13" t="s">
        <v>701</v>
      </c>
      <c r="B146" s="13" t="s">
        <v>50</v>
      </c>
      <c r="C146" s="13" t="s">
        <v>169</v>
      </c>
      <c r="D146" s="13" t="s">
        <v>52</v>
      </c>
      <c r="E146" s="13" t="s">
        <v>702</v>
      </c>
      <c r="F146" s="13" t="s">
        <v>126</v>
      </c>
      <c r="G146" s="13" t="s">
        <v>32</v>
      </c>
      <c r="H146" s="13" t="s">
        <v>703</v>
      </c>
      <c r="I146" s="13" t="s">
        <v>704</v>
      </c>
      <c r="J146" s="13"/>
      <c r="K146" s="14"/>
      <c r="L146" s="14"/>
    </row>
    <row r="147" spans="1:12" ht="28" x14ac:dyDescent="0.2">
      <c r="A147" s="13" t="s">
        <v>705</v>
      </c>
      <c r="B147" s="13" t="s">
        <v>50</v>
      </c>
      <c r="C147" s="13" t="s">
        <v>169</v>
      </c>
      <c r="D147" s="13" t="s">
        <v>52</v>
      </c>
      <c r="E147" s="13" t="s">
        <v>706</v>
      </c>
      <c r="F147" s="13" t="s">
        <v>126</v>
      </c>
      <c r="G147" s="13" t="s">
        <v>32</v>
      </c>
      <c r="H147" s="13" t="s">
        <v>707</v>
      </c>
      <c r="I147" s="13" t="s">
        <v>708</v>
      </c>
      <c r="J147" s="13"/>
      <c r="K147" s="14"/>
      <c r="L147" s="14"/>
    </row>
    <row r="148" spans="1:12" ht="28" x14ac:dyDescent="0.2">
      <c r="A148" s="13" t="s">
        <v>709</v>
      </c>
      <c r="B148" s="13" t="s">
        <v>50</v>
      </c>
      <c r="C148" s="13" t="s">
        <v>169</v>
      </c>
      <c r="D148" s="13" t="s">
        <v>52</v>
      </c>
      <c r="E148" s="13" t="s">
        <v>710</v>
      </c>
      <c r="F148" s="13" t="s">
        <v>126</v>
      </c>
      <c r="G148" s="13" t="s">
        <v>32</v>
      </c>
      <c r="H148" s="13" t="s">
        <v>711</v>
      </c>
      <c r="I148" s="13" t="s">
        <v>712</v>
      </c>
      <c r="J148" s="13"/>
      <c r="K148" s="14"/>
      <c r="L148" s="14"/>
    </row>
    <row r="149" spans="1:12" ht="28" x14ac:dyDescent="0.2">
      <c r="A149" s="13" t="s">
        <v>713</v>
      </c>
      <c r="B149" s="13" t="s">
        <v>50</v>
      </c>
      <c r="C149" s="13" t="s">
        <v>169</v>
      </c>
      <c r="D149" s="13" t="s">
        <v>52</v>
      </c>
      <c r="E149" s="13" t="s">
        <v>714</v>
      </c>
      <c r="F149" s="13" t="s">
        <v>126</v>
      </c>
      <c r="G149" s="13" t="s">
        <v>32</v>
      </c>
      <c r="H149" s="13" t="s">
        <v>715</v>
      </c>
      <c r="I149" s="13" t="s">
        <v>716</v>
      </c>
      <c r="J149" s="13"/>
      <c r="K149" s="14"/>
      <c r="L149" s="14"/>
    </row>
    <row r="150" spans="1:12" ht="28" x14ac:dyDescent="0.2">
      <c r="A150" s="13" t="s">
        <v>717</v>
      </c>
      <c r="B150" s="13" t="s">
        <v>50</v>
      </c>
      <c r="C150" s="13" t="s">
        <v>169</v>
      </c>
      <c r="D150" s="13" t="s">
        <v>52</v>
      </c>
      <c r="E150" s="13" t="s">
        <v>718</v>
      </c>
      <c r="F150" s="13" t="s">
        <v>126</v>
      </c>
      <c r="G150" s="13" t="s">
        <v>33</v>
      </c>
      <c r="H150" s="13" t="s">
        <v>719</v>
      </c>
      <c r="I150" s="13" t="s">
        <v>720</v>
      </c>
      <c r="J150" s="13"/>
      <c r="K150" s="14"/>
      <c r="L150" s="14"/>
    </row>
    <row r="151" spans="1:12" ht="28" x14ac:dyDescent="0.2">
      <c r="A151" s="13" t="s">
        <v>721</v>
      </c>
      <c r="B151" s="13" t="s">
        <v>50</v>
      </c>
      <c r="C151" s="13" t="s">
        <v>169</v>
      </c>
      <c r="D151" s="13" t="s">
        <v>52</v>
      </c>
      <c r="E151" s="13" t="s">
        <v>722</v>
      </c>
      <c r="F151" s="13" t="s">
        <v>183</v>
      </c>
      <c r="G151" s="13" t="s">
        <v>33</v>
      </c>
      <c r="H151" s="13" t="s">
        <v>723</v>
      </c>
      <c r="I151" s="13" t="s">
        <v>724</v>
      </c>
      <c r="J151" s="13"/>
      <c r="K151" s="14"/>
      <c r="L151" s="14"/>
    </row>
    <row r="152" spans="1:12" ht="28" x14ac:dyDescent="0.2">
      <c r="A152" s="13" t="s">
        <v>725</v>
      </c>
      <c r="B152" s="13" t="s">
        <v>50</v>
      </c>
      <c r="C152" s="13" t="s">
        <v>169</v>
      </c>
      <c r="D152" s="13" t="s">
        <v>52</v>
      </c>
      <c r="E152" s="13" t="s">
        <v>726</v>
      </c>
      <c r="F152" s="13" t="s">
        <v>126</v>
      </c>
      <c r="G152" s="13" t="s">
        <v>32</v>
      </c>
      <c r="H152" s="13" t="s">
        <v>727</v>
      </c>
      <c r="I152" s="13" t="s">
        <v>728</v>
      </c>
      <c r="J152" s="13"/>
      <c r="K152" s="14"/>
      <c r="L152" s="14"/>
    </row>
    <row r="153" spans="1:12" ht="28" x14ac:dyDescent="0.2">
      <c r="A153" s="13" t="s">
        <v>729</v>
      </c>
      <c r="B153" s="13" t="s">
        <v>50</v>
      </c>
      <c r="C153" s="13" t="s">
        <v>169</v>
      </c>
      <c r="D153" s="13" t="s">
        <v>52</v>
      </c>
      <c r="E153" s="13" t="s">
        <v>730</v>
      </c>
      <c r="F153" s="13" t="s">
        <v>183</v>
      </c>
      <c r="G153" s="13" t="s">
        <v>33</v>
      </c>
      <c r="H153" s="13" t="s">
        <v>731</v>
      </c>
      <c r="I153" s="13" t="s">
        <v>732</v>
      </c>
      <c r="J153" s="13"/>
      <c r="K153" s="14"/>
      <c r="L153" s="14"/>
    </row>
    <row r="154" spans="1:12" ht="28" x14ac:dyDescent="0.2">
      <c r="A154" s="13" t="s">
        <v>733</v>
      </c>
      <c r="B154" s="13" t="s">
        <v>50</v>
      </c>
      <c r="C154" s="13" t="s">
        <v>169</v>
      </c>
      <c r="D154" s="13" t="s">
        <v>52</v>
      </c>
      <c r="E154" s="13" t="s">
        <v>656</v>
      </c>
      <c r="F154" s="13" t="s">
        <v>126</v>
      </c>
      <c r="G154" s="13" t="s">
        <v>33</v>
      </c>
      <c r="H154" s="13" t="s">
        <v>734</v>
      </c>
      <c r="I154" s="13" t="s">
        <v>735</v>
      </c>
      <c r="J154" s="13"/>
      <c r="K154" s="14"/>
      <c r="L154" s="14"/>
    </row>
    <row r="155" spans="1:12" ht="28" x14ac:dyDescent="0.2">
      <c r="A155" s="13" t="s">
        <v>736</v>
      </c>
      <c r="B155" s="13" t="s">
        <v>50</v>
      </c>
      <c r="C155" s="13" t="s">
        <v>169</v>
      </c>
      <c r="D155" s="13" t="s">
        <v>52</v>
      </c>
      <c r="E155" s="13" t="s">
        <v>737</v>
      </c>
      <c r="F155" s="13" t="s">
        <v>183</v>
      </c>
      <c r="G155" s="13" t="s">
        <v>33</v>
      </c>
      <c r="H155" s="13" t="s">
        <v>738</v>
      </c>
      <c r="I155" s="13" t="s">
        <v>739</v>
      </c>
      <c r="J155" s="13"/>
      <c r="K155" s="14"/>
      <c r="L155" s="14"/>
    </row>
    <row r="156" spans="1:12" ht="28" x14ac:dyDescent="0.2">
      <c r="A156" s="13" t="s">
        <v>740</v>
      </c>
      <c r="B156" s="13" t="s">
        <v>50</v>
      </c>
      <c r="C156" s="13" t="s">
        <v>169</v>
      </c>
      <c r="D156" s="13" t="s">
        <v>52</v>
      </c>
      <c r="E156" s="13" t="s">
        <v>628</v>
      </c>
      <c r="F156" s="13" t="s">
        <v>183</v>
      </c>
      <c r="G156" s="13" t="s">
        <v>33</v>
      </c>
      <c r="H156" s="13" t="s">
        <v>741</v>
      </c>
      <c r="I156" s="13" t="s">
        <v>742</v>
      </c>
      <c r="J156" s="13"/>
      <c r="K156" s="14"/>
      <c r="L156" s="14"/>
    </row>
    <row r="157" spans="1:12" ht="28" x14ac:dyDescent="0.2">
      <c r="A157" s="13" t="s">
        <v>743</v>
      </c>
      <c r="B157" s="13" t="s">
        <v>50</v>
      </c>
      <c r="C157" s="13" t="s">
        <v>169</v>
      </c>
      <c r="D157" s="13" t="s">
        <v>52</v>
      </c>
      <c r="E157" s="13" t="s">
        <v>632</v>
      </c>
      <c r="F157" s="13" t="s">
        <v>126</v>
      </c>
      <c r="G157" s="13" t="s">
        <v>33</v>
      </c>
      <c r="H157" s="13" t="s">
        <v>744</v>
      </c>
      <c r="I157" s="13" t="s">
        <v>745</v>
      </c>
      <c r="J157" s="13"/>
      <c r="K157" s="14"/>
      <c r="L157" s="14"/>
    </row>
    <row r="158" spans="1:12" ht="28" x14ac:dyDescent="0.2">
      <c r="A158" s="13" t="s">
        <v>746</v>
      </c>
      <c r="B158" s="13" t="s">
        <v>50</v>
      </c>
      <c r="C158" s="13" t="s">
        <v>169</v>
      </c>
      <c r="D158" s="13" t="s">
        <v>52</v>
      </c>
      <c r="E158" s="13" t="s">
        <v>747</v>
      </c>
      <c r="F158" s="13" t="s">
        <v>126</v>
      </c>
      <c r="G158" s="13" t="s">
        <v>33</v>
      </c>
      <c r="H158" s="13" t="s">
        <v>748</v>
      </c>
      <c r="I158" s="13" t="s">
        <v>749</v>
      </c>
      <c r="J158" s="13"/>
      <c r="K158" s="14"/>
      <c r="L158" s="14"/>
    </row>
    <row r="159" spans="1:12" ht="28" x14ac:dyDescent="0.2">
      <c r="A159" s="13" t="s">
        <v>750</v>
      </c>
      <c r="B159" s="13" t="s">
        <v>50</v>
      </c>
      <c r="C159" s="13" t="s">
        <v>169</v>
      </c>
      <c r="D159" s="13" t="s">
        <v>52</v>
      </c>
      <c r="E159" s="13" t="s">
        <v>751</v>
      </c>
      <c r="F159" s="13" t="s">
        <v>183</v>
      </c>
      <c r="G159" s="13" t="s">
        <v>33</v>
      </c>
      <c r="H159" s="13" t="s">
        <v>752</v>
      </c>
      <c r="I159" s="13" t="s">
        <v>753</v>
      </c>
      <c r="J159" s="13"/>
      <c r="K159" s="14"/>
      <c r="L159" s="14"/>
    </row>
    <row r="160" spans="1:12" ht="28" x14ac:dyDescent="0.2">
      <c r="A160" s="13" t="s">
        <v>754</v>
      </c>
      <c r="B160" s="13" t="s">
        <v>53</v>
      </c>
      <c r="C160" s="13" t="s">
        <v>124</v>
      </c>
      <c r="D160" s="13" t="s">
        <v>44</v>
      </c>
      <c r="E160" s="13" t="s">
        <v>755</v>
      </c>
      <c r="F160" s="13" t="s">
        <v>126</v>
      </c>
      <c r="G160" s="13" t="s">
        <v>32</v>
      </c>
      <c r="H160" s="13" t="s">
        <v>756</v>
      </c>
      <c r="I160" s="13" t="s">
        <v>757</v>
      </c>
      <c r="J160" s="13"/>
      <c r="K160" s="14"/>
      <c r="L160" s="14"/>
    </row>
    <row r="161" spans="1:12" ht="28" x14ac:dyDescent="0.2">
      <c r="A161" s="13" t="s">
        <v>758</v>
      </c>
      <c r="B161" s="13" t="s">
        <v>53</v>
      </c>
      <c r="C161" s="13" t="s">
        <v>124</v>
      </c>
      <c r="D161" s="13" t="s">
        <v>44</v>
      </c>
      <c r="E161" s="13" t="s">
        <v>759</v>
      </c>
      <c r="F161" s="13" t="s">
        <v>126</v>
      </c>
      <c r="G161" s="13" t="s">
        <v>32</v>
      </c>
      <c r="H161" s="13" t="s">
        <v>760</v>
      </c>
      <c r="I161" s="13" t="s">
        <v>761</v>
      </c>
      <c r="J161" s="13"/>
      <c r="K161" s="14"/>
      <c r="L161" s="14"/>
    </row>
    <row r="162" spans="1:12" ht="28" x14ac:dyDescent="0.2">
      <c r="A162" s="13" t="s">
        <v>762</v>
      </c>
      <c r="B162" s="13" t="s">
        <v>53</v>
      </c>
      <c r="C162" s="13" t="s">
        <v>124</v>
      </c>
      <c r="D162" s="13" t="s">
        <v>44</v>
      </c>
      <c r="E162" s="13" t="s">
        <v>759</v>
      </c>
      <c r="F162" s="13" t="s">
        <v>153</v>
      </c>
      <c r="G162" s="13" t="s">
        <v>32</v>
      </c>
      <c r="H162" s="13" t="s">
        <v>763</v>
      </c>
      <c r="I162" s="13" t="s">
        <v>764</v>
      </c>
      <c r="J162" s="13"/>
      <c r="K162" s="14"/>
      <c r="L162" s="14"/>
    </row>
    <row r="163" spans="1:12" ht="28" x14ac:dyDescent="0.2">
      <c r="A163" s="13" t="s">
        <v>765</v>
      </c>
      <c r="B163" s="13" t="s">
        <v>53</v>
      </c>
      <c r="C163" s="13" t="s">
        <v>124</v>
      </c>
      <c r="D163" s="13" t="s">
        <v>44</v>
      </c>
      <c r="E163" s="13" t="s">
        <v>766</v>
      </c>
      <c r="F163" s="13" t="s">
        <v>153</v>
      </c>
      <c r="G163" s="13" t="s">
        <v>32</v>
      </c>
      <c r="H163" s="13" t="s">
        <v>767</v>
      </c>
      <c r="I163" s="13" t="s">
        <v>768</v>
      </c>
      <c r="J163" s="13"/>
      <c r="K163" s="14"/>
      <c r="L163" s="14"/>
    </row>
    <row r="164" spans="1:12" ht="28" x14ac:dyDescent="0.2">
      <c r="A164" s="13" t="s">
        <v>769</v>
      </c>
      <c r="B164" s="13" t="s">
        <v>53</v>
      </c>
      <c r="C164" s="13" t="s">
        <v>124</v>
      </c>
      <c r="D164" s="13" t="s">
        <v>44</v>
      </c>
      <c r="E164" s="13" t="s">
        <v>770</v>
      </c>
      <c r="F164" s="13" t="s">
        <v>126</v>
      </c>
      <c r="G164" s="13" t="s">
        <v>32</v>
      </c>
      <c r="H164" s="13" t="s">
        <v>771</v>
      </c>
      <c r="I164" s="13" t="s">
        <v>772</v>
      </c>
      <c r="J164" s="13"/>
      <c r="K164" s="14"/>
      <c r="L164" s="14"/>
    </row>
    <row r="165" spans="1:12" ht="28" x14ac:dyDescent="0.2">
      <c r="A165" s="13" t="s">
        <v>773</v>
      </c>
      <c r="B165" s="13" t="s">
        <v>55</v>
      </c>
      <c r="C165" s="13" t="s">
        <v>124</v>
      </c>
      <c r="D165" s="13" t="s">
        <v>57</v>
      </c>
      <c r="E165" s="13" t="s">
        <v>774</v>
      </c>
      <c r="F165" s="13" t="s">
        <v>183</v>
      </c>
      <c r="G165" s="13" t="s">
        <v>33</v>
      </c>
      <c r="H165" s="13" t="s">
        <v>775</v>
      </c>
      <c r="I165" s="13" t="s">
        <v>776</v>
      </c>
      <c r="J165" s="13"/>
      <c r="K165" s="14"/>
      <c r="L165" s="14"/>
    </row>
    <row r="166" spans="1:12" ht="42" x14ac:dyDescent="0.2">
      <c r="A166" s="13" t="s">
        <v>777</v>
      </c>
      <c r="B166" s="13" t="s">
        <v>55</v>
      </c>
      <c r="C166" s="13" t="s">
        <v>124</v>
      </c>
      <c r="D166" s="13" t="s">
        <v>57</v>
      </c>
      <c r="E166" s="13" t="s">
        <v>778</v>
      </c>
      <c r="F166" s="13" t="s">
        <v>126</v>
      </c>
      <c r="G166" s="13" t="s">
        <v>32</v>
      </c>
      <c r="H166" s="13" t="s">
        <v>779</v>
      </c>
      <c r="I166" s="13" t="s">
        <v>780</v>
      </c>
      <c r="J166" s="13"/>
      <c r="K166" s="14"/>
      <c r="L166" s="14"/>
    </row>
    <row r="167" spans="1:12" ht="28" x14ac:dyDescent="0.2">
      <c r="A167" s="13" t="s">
        <v>781</v>
      </c>
      <c r="B167" s="13" t="s">
        <v>55</v>
      </c>
      <c r="C167" s="13" t="s">
        <v>124</v>
      </c>
      <c r="D167" s="13" t="s">
        <v>57</v>
      </c>
      <c r="E167" s="13" t="s">
        <v>782</v>
      </c>
      <c r="F167" s="13" t="s">
        <v>126</v>
      </c>
      <c r="G167" s="13" t="s">
        <v>33</v>
      </c>
      <c r="H167" s="13" t="s">
        <v>783</v>
      </c>
      <c r="I167" s="13" t="s">
        <v>784</v>
      </c>
      <c r="J167" s="13"/>
      <c r="K167" s="14"/>
      <c r="L167" s="14"/>
    </row>
    <row r="168" spans="1:12" ht="28" x14ac:dyDescent="0.2">
      <c r="A168" s="13" t="s">
        <v>785</v>
      </c>
      <c r="B168" s="13" t="s">
        <v>55</v>
      </c>
      <c r="C168" s="13" t="s">
        <v>124</v>
      </c>
      <c r="D168" s="13" t="s">
        <v>57</v>
      </c>
      <c r="E168" s="13" t="s">
        <v>786</v>
      </c>
      <c r="F168" s="13" t="s">
        <v>126</v>
      </c>
      <c r="G168" s="13" t="s">
        <v>33</v>
      </c>
      <c r="H168" s="13" t="s">
        <v>787</v>
      </c>
      <c r="I168" s="13" t="s">
        <v>788</v>
      </c>
      <c r="J168" s="13"/>
      <c r="K168" s="14"/>
      <c r="L168" s="14"/>
    </row>
    <row r="169" spans="1:12" ht="28" x14ac:dyDescent="0.2">
      <c r="A169" s="13" t="s">
        <v>789</v>
      </c>
      <c r="B169" s="13" t="s">
        <v>55</v>
      </c>
      <c r="C169" s="13" t="s">
        <v>124</v>
      </c>
      <c r="D169" s="13" t="s">
        <v>57</v>
      </c>
      <c r="E169" s="13" t="s">
        <v>790</v>
      </c>
      <c r="F169" s="13" t="s">
        <v>126</v>
      </c>
      <c r="G169" s="13" t="s">
        <v>33</v>
      </c>
      <c r="H169" s="13" t="s">
        <v>791</v>
      </c>
      <c r="I169" s="13" t="s">
        <v>792</v>
      </c>
      <c r="J169" s="13"/>
      <c r="K169" s="14"/>
      <c r="L169" s="14"/>
    </row>
    <row r="170" spans="1:12" ht="28" x14ac:dyDescent="0.2">
      <c r="A170" s="13" t="s">
        <v>793</v>
      </c>
      <c r="B170" s="13" t="s">
        <v>55</v>
      </c>
      <c r="C170" s="13" t="s">
        <v>124</v>
      </c>
      <c r="D170" s="13" t="s">
        <v>57</v>
      </c>
      <c r="E170" s="13" t="s">
        <v>794</v>
      </c>
      <c r="F170" s="13" t="s">
        <v>153</v>
      </c>
      <c r="G170" s="13" t="s">
        <v>33</v>
      </c>
      <c r="H170" s="13" t="s">
        <v>795</v>
      </c>
      <c r="I170" s="13" t="s">
        <v>796</v>
      </c>
      <c r="J170" s="13"/>
      <c r="K170" s="14"/>
      <c r="L170" s="14"/>
    </row>
    <row r="171" spans="1:12" ht="28" x14ac:dyDescent="0.2">
      <c r="A171" s="13" t="s">
        <v>797</v>
      </c>
      <c r="B171" s="13" t="s">
        <v>55</v>
      </c>
      <c r="C171" s="13" t="s">
        <v>124</v>
      </c>
      <c r="D171" s="13" t="s">
        <v>57</v>
      </c>
      <c r="E171" s="13" t="s">
        <v>798</v>
      </c>
      <c r="F171" s="13" t="s">
        <v>153</v>
      </c>
      <c r="G171" s="13" t="s">
        <v>32</v>
      </c>
      <c r="H171" s="13" t="s">
        <v>799</v>
      </c>
      <c r="I171" s="13" t="s">
        <v>800</v>
      </c>
      <c r="J171" s="13"/>
      <c r="K171" s="14"/>
      <c r="L171" s="14"/>
    </row>
    <row r="172" spans="1:12" ht="28" x14ac:dyDescent="0.2">
      <c r="A172" s="13" t="s">
        <v>801</v>
      </c>
      <c r="B172" s="13" t="s">
        <v>55</v>
      </c>
      <c r="C172" s="13" t="s">
        <v>124</v>
      </c>
      <c r="D172" s="13" t="s">
        <v>57</v>
      </c>
      <c r="E172" s="13" t="s">
        <v>802</v>
      </c>
      <c r="F172" s="13" t="s">
        <v>126</v>
      </c>
      <c r="G172" s="13" t="s">
        <v>33</v>
      </c>
      <c r="H172" s="13" t="s">
        <v>803</v>
      </c>
      <c r="I172" s="13" t="s">
        <v>804</v>
      </c>
      <c r="J172" s="13"/>
      <c r="K172" s="14"/>
      <c r="L172" s="14"/>
    </row>
    <row r="173" spans="1:12" ht="28" x14ac:dyDescent="0.2">
      <c r="A173" s="13" t="s">
        <v>805</v>
      </c>
      <c r="B173" s="13" t="s">
        <v>55</v>
      </c>
      <c r="C173" s="13" t="s">
        <v>124</v>
      </c>
      <c r="D173" s="13" t="s">
        <v>57</v>
      </c>
      <c r="E173" s="13" t="s">
        <v>806</v>
      </c>
      <c r="F173" s="13" t="s">
        <v>126</v>
      </c>
      <c r="G173" s="13" t="s">
        <v>32</v>
      </c>
      <c r="H173" s="13" t="s">
        <v>807</v>
      </c>
      <c r="I173" s="13" t="s">
        <v>808</v>
      </c>
      <c r="J173" s="13"/>
      <c r="K173" s="14"/>
      <c r="L173" s="14"/>
    </row>
    <row r="174" spans="1:12" ht="28" x14ac:dyDescent="0.2">
      <c r="A174" s="13" t="s">
        <v>809</v>
      </c>
      <c r="B174" s="13" t="s">
        <v>58</v>
      </c>
      <c r="C174" s="13" t="s">
        <v>124</v>
      </c>
      <c r="D174" s="13" t="s">
        <v>52</v>
      </c>
      <c r="E174" s="13" t="s">
        <v>810</v>
      </c>
      <c r="F174" s="13" t="s">
        <v>126</v>
      </c>
      <c r="G174" s="13" t="s">
        <v>32</v>
      </c>
      <c r="H174" s="13" t="s">
        <v>811</v>
      </c>
      <c r="I174" s="13" t="s">
        <v>812</v>
      </c>
      <c r="J174" s="13"/>
      <c r="K174" s="14"/>
      <c r="L174" s="14"/>
    </row>
    <row r="175" spans="1:12" ht="28" x14ac:dyDescent="0.2">
      <c r="A175" s="13" t="s">
        <v>813</v>
      </c>
      <c r="B175" s="13" t="s">
        <v>58</v>
      </c>
      <c r="C175" s="13" t="s">
        <v>124</v>
      </c>
      <c r="D175" s="13" t="s">
        <v>52</v>
      </c>
      <c r="E175" s="13" t="s">
        <v>814</v>
      </c>
      <c r="F175" s="13" t="s">
        <v>183</v>
      </c>
      <c r="G175" s="13" t="s">
        <v>32</v>
      </c>
      <c r="H175" s="13" t="s">
        <v>815</v>
      </c>
      <c r="I175" s="13" t="s">
        <v>816</v>
      </c>
      <c r="J175" s="13"/>
      <c r="K175" s="14"/>
      <c r="L175" s="14"/>
    </row>
    <row r="176" spans="1:12" ht="42" x14ac:dyDescent="0.2">
      <c r="A176" s="13" t="s">
        <v>817</v>
      </c>
      <c r="B176" s="13" t="s">
        <v>58</v>
      </c>
      <c r="C176" s="13" t="s">
        <v>124</v>
      </c>
      <c r="D176" s="13" t="s">
        <v>52</v>
      </c>
      <c r="E176" s="13" t="s">
        <v>818</v>
      </c>
      <c r="F176" s="13" t="s">
        <v>126</v>
      </c>
      <c r="G176" s="13" t="s">
        <v>32</v>
      </c>
      <c r="H176" s="13" t="s">
        <v>819</v>
      </c>
      <c r="I176" s="13" t="s">
        <v>820</v>
      </c>
      <c r="J176" s="13"/>
      <c r="K176" s="14"/>
      <c r="L176" s="14"/>
    </row>
    <row r="177" spans="1:12" ht="42" x14ac:dyDescent="0.2">
      <c r="A177" s="13" t="s">
        <v>821</v>
      </c>
      <c r="B177" s="13" t="s">
        <v>58</v>
      </c>
      <c r="C177" s="13" t="s">
        <v>124</v>
      </c>
      <c r="D177" s="13" t="s">
        <v>52</v>
      </c>
      <c r="E177" s="13" t="s">
        <v>822</v>
      </c>
      <c r="F177" s="13" t="s">
        <v>183</v>
      </c>
      <c r="G177" s="13" t="s">
        <v>33</v>
      </c>
      <c r="H177" s="13" t="s">
        <v>823</v>
      </c>
      <c r="I177" s="13" t="s">
        <v>824</v>
      </c>
      <c r="J177" s="13"/>
      <c r="K177" s="14"/>
      <c r="L177" s="14"/>
    </row>
    <row r="178" spans="1:12" ht="28" x14ac:dyDescent="0.2">
      <c r="A178" s="13" t="s">
        <v>825</v>
      </c>
      <c r="B178" s="13" t="s">
        <v>58</v>
      </c>
      <c r="C178" s="13" t="s">
        <v>124</v>
      </c>
      <c r="D178" s="13" t="s">
        <v>52</v>
      </c>
      <c r="E178" s="13" t="s">
        <v>223</v>
      </c>
      <c r="F178" s="13" t="s">
        <v>126</v>
      </c>
      <c r="G178" s="13" t="s">
        <v>33</v>
      </c>
      <c r="H178" s="13" t="s">
        <v>826</v>
      </c>
      <c r="I178" s="13" t="s">
        <v>827</v>
      </c>
      <c r="J178" s="13"/>
      <c r="K178" s="14"/>
      <c r="L178" s="14"/>
    </row>
    <row r="179" spans="1:12" ht="28" x14ac:dyDescent="0.2">
      <c r="A179" s="13" t="s">
        <v>828</v>
      </c>
      <c r="B179" s="13" t="s">
        <v>58</v>
      </c>
      <c r="C179" s="13" t="s">
        <v>124</v>
      </c>
      <c r="D179" s="13" t="s">
        <v>52</v>
      </c>
      <c r="E179" s="13" t="s">
        <v>829</v>
      </c>
      <c r="F179" s="13" t="s">
        <v>183</v>
      </c>
      <c r="G179" s="13" t="s">
        <v>32</v>
      </c>
      <c r="H179" s="13" t="s">
        <v>830</v>
      </c>
      <c r="I179" s="13" t="s">
        <v>831</v>
      </c>
      <c r="J179" s="13"/>
      <c r="K179" s="14"/>
      <c r="L179" s="14"/>
    </row>
    <row r="180" spans="1:12" ht="28" x14ac:dyDescent="0.2">
      <c r="A180" s="13" t="s">
        <v>832</v>
      </c>
      <c r="B180" s="13" t="s">
        <v>58</v>
      </c>
      <c r="C180" s="13" t="s">
        <v>124</v>
      </c>
      <c r="D180" s="13" t="s">
        <v>52</v>
      </c>
      <c r="E180" s="13" t="s">
        <v>833</v>
      </c>
      <c r="F180" s="13" t="s">
        <v>126</v>
      </c>
      <c r="G180" s="13" t="s">
        <v>33</v>
      </c>
      <c r="H180" s="13" t="s">
        <v>834</v>
      </c>
      <c r="I180" s="13" t="s">
        <v>835</v>
      </c>
      <c r="J180" s="13"/>
      <c r="K180" s="14"/>
      <c r="L180" s="14"/>
    </row>
    <row r="181" spans="1:12" ht="28" x14ac:dyDescent="0.2">
      <c r="A181" s="13" t="s">
        <v>836</v>
      </c>
      <c r="B181" s="13" t="s">
        <v>58</v>
      </c>
      <c r="C181" s="13" t="s">
        <v>124</v>
      </c>
      <c r="D181" s="13" t="s">
        <v>52</v>
      </c>
      <c r="E181" s="13" t="s">
        <v>837</v>
      </c>
      <c r="F181" s="13" t="s">
        <v>183</v>
      </c>
      <c r="G181" s="13" t="s">
        <v>33</v>
      </c>
      <c r="H181" s="13" t="s">
        <v>838</v>
      </c>
      <c r="I181" s="13" t="s">
        <v>839</v>
      </c>
      <c r="J181" s="13"/>
      <c r="K181" s="14"/>
      <c r="L181" s="14"/>
    </row>
    <row r="182" spans="1:12" ht="28" x14ac:dyDescent="0.2">
      <c r="A182" s="13" t="s">
        <v>840</v>
      </c>
      <c r="B182" s="13" t="s">
        <v>58</v>
      </c>
      <c r="C182" s="13" t="s">
        <v>124</v>
      </c>
      <c r="D182" s="13" t="s">
        <v>52</v>
      </c>
      <c r="E182" s="13" t="s">
        <v>841</v>
      </c>
      <c r="F182" s="13" t="s">
        <v>126</v>
      </c>
      <c r="G182" s="13" t="s">
        <v>33</v>
      </c>
      <c r="H182" s="13" t="s">
        <v>842</v>
      </c>
      <c r="I182" s="13" t="s">
        <v>843</v>
      </c>
      <c r="J182" s="13"/>
      <c r="K182" s="14"/>
      <c r="L182" s="14"/>
    </row>
    <row r="183" spans="1:12" ht="42" x14ac:dyDescent="0.2">
      <c r="A183" s="13" t="s">
        <v>844</v>
      </c>
      <c r="B183" s="13" t="s">
        <v>58</v>
      </c>
      <c r="C183" s="13" t="s">
        <v>124</v>
      </c>
      <c r="D183" s="13" t="s">
        <v>52</v>
      </c>
      <c r="E183" s="13" t="s">
        <v>845</v>
      </c>
      <c r="F183" s="13" t="s">
        <v>183</v>
      </c>
      <c r="G183" s="13" t="s">
        <v>33</v>
      </c>
      <c r="H183" s="13" t="s">
        <v>846</v>
      </c>
      <c r="I183" s="13" t="s">
        <v>847</v>
      </c>
      <c r="J183" s="13"/>
      <c r="K183" s="14"/>
      <c r="L183" s="14"/>
    </row>
    <row r="184" spans="1:12" ht="42" x14ac:dyDescent="0.2">
      <c r="A184" s="13" t="s">
        <v>848</v>
      </c>
      <c r="B184" s="13" t="s">
        <v>58</v>
      </c>
      <c r="C184" s="13" t="s">
        <v>124</v>
      </c>
      <c r="D184" s="13" t="s">
        <v>52</v>
      </c>
      <c r="E184" s="13" t="s">
        <v>849</v>
      </c>
      <c r="F184" s="13" t="s">
        <v>126</v>
      </c>
      <c r="G184" s="13" t="s">
        <v>33</v>
      </c>
      <c r="H184" s="13" t="s">
        <v>850</v>
      </c>
      <c r="I184" s="13" t="s">
        <v>851</v>
      </c>
      <c r="J184" s="13"/>
      <c r="K184" s="14"/>
      <c r="L184" s="14"/>
    </row>
    <row r="185" spans="1:12" ht="42" x14ac:dyDescent="0.2">
      <c r="A185" s="13" t="s">
        <v>852</v>
      </c>
      <c r="B185" s="13" t="s">
        <v>58</v>
      </c>
      <c r="C185" s="13" t="s">
        <v>124</v>
      </c>
      <c r="D185" s="13" t="s">
        <v>52</v>
      </c>
      <c r="E185" s="13" t="s">
        <v>853</v>
      </c>
      <c r="F185" s="13" t="s">
        <v>126</v>
      </c>
      <c r="G185" s="13" t="s">
        <v>33</v>
      </c>
      <c r="H185" s="13" t="s">
        <v>854</v>
      </c>
      <c r="I185" s="13" t="s">
        <v>855</v>
      </c>
      <c r="J185" s="13"/>
      <c r="K185" s="14"/>
      <c r="L185" s="14"/>
    </row>
    <row r="186" spans="1:12" ht="28" x14ac:dyDescent="0.2">
      <c r="A186" s="13" t="s">
        <v>856</v>
      </c>
      <c r="B186" s="13" t="s">
        <v>58</v>
      </c>
      <c r="C186" s="13" t="s">
        <v>124</v>
      </c>
      <c r="D186" s="13" t="s">
        <v>52</v>
      </c>
      <c r="E186" s="13" t="s">
        <v>857</v>
      </c>
      <c r="F186" s="13" t="s">
        <v>126</v>
      </c>
      <c r="G186" s="13" t="s">
        <v>33</v>
      </c>
      <c r="H186" s="13" t="s">
        <v>858</v>
      </c>
      <c r="I186" s="13" t="s">
        <v>859</v>
      </c>
      <c r="J186" s="13"/>
      <c r="K186" s="14"/>
      <c r="L186" s="14"/>
    </row>
    <row r="187" spans="1:12" ht="28" x14ac:dyDescent="0.2">
      <c r="A187" s="13" t="s">
        <v>860</v>
      </c>
      <c r="B187" s="13" t="s">
        <v>58</v>
      </c>
      <c r="C187" s="13" t="s">
        <v>169</v>
      </c>
      <c r="D187" s="13" t="s">
        <v>52</v>
      </c>
      <c r="E187" s="13" t="s">
        <v>861</v>
      </c>
      <c r="F187" s="13" t="s">
        <v>126</v>
      </c>
      <c r="G187" s="13" t="s">
        <v>33</v>
      </c>
      <c r="H187" s="13" t="s">
        <v>862</v>
      </c>
      <c r="I187" s="13" t="s">
        <v>863</v>
      </c>
      <c r="J187" s="13"/>
      <c r="K187" s="14"/>
      <c r="L187" s="14"/>
    </row>
    <row r="188" spans="1:12" ht="28" x14ac:dyDescent="0.2">
      <c r="A188" s="13" t="s">
        <v>864</v>
      </c>
      <c r="B188" s="13" t="s">
        <v>58</v>
      </c>
      <c r="C188" s="13" t="s">
        <v>169</v>
      </c>
      <c r="D188" s="13" t="s">
        <v>52</v>
      </c>
      <c r="E188" s="13" t="s">
        <v>865</v>
      </c>
      <c r="F188" s="13" t="s">
        <v>183</v>
      </c>
      <c r="G188" s="13" t="s">
        <v>32</v>
      </c>
      <c r="H188" s="13" t="s">
        <v>866</v>
      </c>
      <c r="I188" s="13" t="s">
        <v>867</v>
      </c>
      <c r="J188" s="13"/>
      <c r="K188" s="14"/>
      <c r="L188" s="14"/>
    </row>
    <row r="189" spans="1:12" ht="28" x14ac:dyDescent="0.2">
      <c r="A189" s="13" t="s">
        <v>868</v>
      </c>
      <c r="B189" s="13" t="s">
        <v>58</v>
      </c>
      <c r="C189" s="13" t="s">
        <v>169</v>
      </c>
      <c r="D189" s="13" t="s">
        <v>52</v>
      </c>
      <c r="E189" s="13" t="s">
        <v>869</v>
      </c>
      <c r="F189" s="13" t="s">
        <v>126</v>
      </c>
      <c r="G189" s="13" t="s">
        <v>32</v>
      </c>
      <c r="H189" s="13" t="s">
        <v>870</v>
      </c>
      <c r="I189" s="13" t="s">
        <v>871</v>
      </c>
      <c r="J189" s="13"/>
      <c r="K189" s="14"/>
      <c r="L189" s="14"/>
    </row>
    <row r="190" spans="1:12" ht="28" x14ac:dyDescent="0.2">
      <c r="A190" s="13" t="s">
        <v>872</v>
      </c>
      <c r="B190" s="13" t="s">
        <v>58</v>
      </c>
      <c r="C190" s="13" t="s">
        <v>169</v>
      </c>
      <c r="D190" s="13" t="s">
        <v>52</v>
      </c>
      <c r="E190" s="13" t="s">
        <v>873</v>
      </c>
      <c r="F190" s="13" t="s">
        <v>183</v>
      </c>
      <c r="G190" s="13" t="s">
        <v>32</v>
      </c>
      <c r="H190" s="13" t="s">
        <v>874</v>
      </c>
      <c r="I190" s="13" t="s">
        <v>875</v>
      </c>
      <c r="J190" s="13"/>
      <c r="K190" s="14"/>
      <c r="L190" s="14"/>
    </row>
    <row r="191" spans="1:12" ht="42" x14ac:dyDescent="0.2">
      <c r="A191" s="13" t="s">
        <v>876</v>
      </c>
      <c r="B191" s="13" t="s">
        <v>58</v>
      </c>
      <c r="C191" s="13" t="s">
        <v>169</v>
      </c>
      <c r="D191" s="13" t="s">
        <v>52</v>
      </c>
      <c r="E191" s="13" t="s">
        <v>877</v>
      </c>
      <c r="F191" s="13" t="s">
        <v>126</v>
      </c>
      <c r="G191" s="13" t="s">
        <v>33</v>
      </c>
      <c r="H191" s="13" t="s">
        <v>878</v>
      </c>
      <c r="I191" s="13" t="s">
        <v>879</v>
      </c>
      <c r="J191" s="13"/>
      <c r="K191" s="14"/>
      <c r="L191" s="14"/>
    </row>
    <row r="192" spans="1:12" ht="28" x14ac:dyDescent="0.2">
      <c r="A192" s="13" t="s">
        <v>880</v>
      </c>
      <c r="B192" s="13" t="s">
        <v>58</v>
      </c>
      <c r="C192" s="13" t="s">
        <v>169</v>
      </c>
      <c r="D192" s="13" t="s">
        <v>52</v>
      </c>
      <c r="E192" s="13" t="s">
        <v>881</v>
      </c>
      <c r="F192" s="13" t="s">
        <v>126</v>
      </c>
      <c r="G192" s="13" t="s">
        <v>32</v>
      </c>
      <c r="H192" s="13" t="s">
        <v>882</v>
      </c>
      <c r="I192" s="13" t="s">
        <v>883</v>
      </c>
      <c r="J192" s="13"/>
      <c r="K192" s="14"/>
      <c r="L192" s="14"/>
    </row>
    <row r="193" spans="1:12" ht="28" x14ac:dyDescent="0.2">
      <c r="A193" s="13" t="s">
        <v>884</v>
      </c>
      <c r="B193" s="13" t="s">
        <v>58</v>
      </c>
      <c r="C193" s="13" t="s">
        <v>169</v>
      </c>
      <c r="D193" s="13" t="s">
        <v>52</v>
      </c>
      <c r="E193" s="13" t="s">
        <v>837</v>
      </c>
      <c r="F193" s="13" t="s">
        <v>126</v>
      </c>
      <c r="G193" s="13" t="s">
        <v>33</v>
      </c>
      <c r="H193" s="13" t="s">
        <v>885</v>
      </c>
      <c r="I193" s="13" t="s">
        <v>886</v>
      </c>
      <c r="J193" s="13"/>
      <c r="K193" s="14"/>
      <c r="L193" s="14"/>
    </row>
    <row r="194" spans="1:12" ht="28" x14ac:dyDescent="0.2">
      <c r="A194" s="13" t="s">
        <v>887</v>
      </c>
      <c r="B194" s="13" t="s">
        <v>58</v>
      </c>
      <c r="C194" s="13" t="s">
        <v>169</v>
      </c>
      <c r="D194" s="13" t="s">
        <v>52</v>
      </c>
      <c r="E194" s="13" t="s">
        <v>888</v>
      </c>
      <c r="F194" s="13" t="s">
        <v>183</v>
      </c>
      <c r="G194" s="13" t="s">
        <v>33</v>
      </c>
      <c r="H194" s="13" t="s">
        <v>889</v>
      </c>
      <c r="I194" s="13" t="s">
        <v>890</v>
      </c>
      <c r="J194" s="13"/>
      <c r="K194" s="14"/>
      <c r="L194" s="14"/>
    </row>
    <row r="195" spans="1:12" ht="42" x14ac:dyDescent="0.2">
      <c r="A195" s="13" t="s">
        <v>891</v>
      </c>
      <c r="B195" s="13" t="s">
        <v>58</v>
      </c>
      <c r="C195" s="13" t="s">
        <v>169</v>
      </c>
      <c r="D195" s="13" t="s">
        <v>52</v>
      </c>
      <c r="E195" s="13" t="s">
        <v>892</v>
      </c>
      <c r="F195" s="13" t="s">
        <v>126</v>
      </c>
      <c r="G195" s="13" t="s">
        <v>33</v>
      </c>
      <c r="H195" s="13" t="s">
        <v>893</v>
      </c>
      <c r="I195" s="13" t="s">
        <v>894</v>
      </c>
      <c r="J195" s="13"/>
      <c r="K195" s="14"/>
      <c r="L195" s="14"/>
    </row>
    <row r="196" spans="1:12" ht="28" x14ac:dyDescent="0.2">
      <c r="A196" s="13" t="s">
        <v>895</v>
      </c>
      <c r="B196" s="13" t="s">
        <v>58</v>
      </c>
      <c r="C196" s="13" t="s">
        <v>169</v>
      </c>
      <c r="D196" s="13" t="s">
        <v>52</v>
      </c>
      <c r="E196" s="13" t="s">
        <v>896</v>
      </c>
      <c r="F196" s="13" t="s">
        <v>126</v>
      </c>
      <c r="G196" s="13" t="s">
        <v>32</v>
      </c>
      <c r="H196" s="13" t="s">
        <v>897</v>
      </c>
      <c r="I196" s="13" t="s">
        <v>898</v>
      </c>
      <c r="J196" s="13"/>
      <c r="K196" s="14"/>
      <c r="L196" s="14"/>
    </row>
    <row r="197" spans="1:12" ht="28" x14ac:dyDescent="0.2">
      <c r="A197" s="13" t="s">
        <v>899</v>
      </c>
      <c r="B197" s="13" t="s">
        <v>58</v>
      </c>
      <c r="C197" s="13" t="s">
        <v>169</v>
      </c>
      <c r="D197" s="13" t="s">
        <v>52</v>
      </c>
      <c r="E197" s="13" t="s">
        <v>900</v>
      </c>
      <c r="F197" s="13" t="s">
        <v>183</v>
      </c>
      <c r="G197" s="13" t="s">
        <v>33</v>
      </c>
      <c r="H197" s="13" t="s">
        <v>901</v>
      </c>
      <c r="I197" s="13" t="s">
        <v>902</v>
      </c>
      <c r="J197" s="13"/>
      <c r="K197" s="14"/>
      <c r="L197" s="14"/>
    </row>
    <row r="198" spans="1:12" ht="42" x14ac:dyDescent="0.2">
      <c r="A198" s="13" t="s">
        <v>903</v>
      </c>
      <c r="B198" s="13" t="s">
        <v>58</v>
      </c>
      <c r="C198" s="13" t="s">
        <v>169</v>
      </c>
      <c r="D198" s="13" t="s">
        <v>52</v>
      </c>
      <c r="E198" s="13" t="s">
        <v>904</v>
      </c>
      <c r="F198" s="13" t="s">
        <v>126</v>
      </c>
      <c r="G198" s="13" t="s">
        <v>33</v>
      </c>
      <c r="H198" s="13" t="s">
        <v>905</v>
      </c>
      <c r="I198" s="13" t="s">
        <v>906</v>
      </c>
      <c r="J198" s="13"/>
      <c r="K198" s="14"/>
      <c r="L198" s="14"/>
    </row>
    <row r="199" spans="1:12" ht="28" x14ac:dyDescent="0.2">
      <c r="A199" s="13" t="s">
        <v>907</v>
      </c>
      <c r="B199" s="13" t="s">
        <v>58</v>
      </c>
      <c r="C199" s="13" t="s">
        <v>169</v>
      </c>
      <c r="D199" s="13" t="s">
        <v>52</v>
      </c>
      <c r="E199" s="13" t="s">
        <v>908</v>
      </c>
      <c r="F199" s="13" t="s">
        <v>126</v>
      </c>
      <c r="G199" s="13" t="s">
        <v>32</v>
      </c>
      <c r="H199" s="13" t="s">
        <v>909</v>
      </c>
      <c r="I199" s="13" t="s">
        <v>910</v>
      </c>
      <c r="J199" s="13"/>
      <c r="K199" s="14"/>
      <c r="L199" s="14"/>
    </row>
    <row r="200" spans="1:12" ht="28" x14ac:dyDescent="0.2">
      <c r="A200" s="13" t="s">
        <v>911</v>
      </c>
      <c r="B200" s="13" t="s">
        <v>58</v>
      </c>
      <c r="C200" s="13" t="s">
        <v>169</v>
      </c>
      <c r="D200" s="13" t="s">
        <v>52</v>
      </c>
      <c r="E200" s="13" t="s">
        <v>912</v>
      </c>
      <c r="F200" s="13" t="s">
        <v>126</v>
      </c>
      <c r="G200" s="13" t="s">
        <v>33</v>
      </c>
      <c r="H200" s="13" t="s">
        <v>913</v>
      </c>
      <c r="I200" s="13" t="s">
        <v>914</v>
      </c>
      <c r="J200" s="13"/>
      <c r="K200" s="14"/>
      <c r="L200" s="14"/>
    </row>
    <row r="201" spans="1:12" ht="28" x14ac:dyDescent="0.2">
      <c r="A201" s="13" t="s">
        <v>915</v>
      </c>
      <c r="B201" s="13" t="s">
        <v>58</v>
      </c>
      <c r="C201" s="13" t="s">
        <v>169</v>
      </c>
      <c r="D201" s="13" t="s">
        <v>52</v>
      </c>
      <c r="E201" s="13" t="s">
        <v>916</v>
      </c>
      <c r="F201" s="13" t="s">
        <v>126</v>
      </c>
      <c r="G201" s="13" t="s">
        <v>33</v>
      </c>
      <c r="H201" s="13" t="s">
        <v>917</v>
      </c>
      <c r="I201" s="13" t="s">
        <v>918</v>
      </c>
      <c r="J201" s="13"/>
      <c r="K201" s="14"/>
      <c r="L201" s="14"/>
    </row>
    <row r="202" spans="1:12" ht="42" x14ac:dyDescent="0.2">
      <c r="A202" s="13" t="s">
        <v>919</v>
      </c>
      <c r="B202" s="13" t="s">
        <v>58</v>
      </c>
      <c r="C202" s="13" t="s">
        <v>169</v>
      </c>
      <c r="D202" s="13" t="s">
        <v>52</v>
      </c>
      <c r="E202" s="13" t="s">
        <v>920</v>
      </c>
      <c r="F202" s="13" t="s">
        <v>126</v>
      </c>
      <c r="G202" s="13" t="s">
        <v>32</v>
      </c>
      <c r="H202" s="13" t="s">
        <v>921</v>
      </c>
      <c r="I202" s="13" t="s">
        <v>922</v>
      </c>
      <c r="J202" s="13"/>
      <c r="K202" s="14"/>
      <c r="L202" s="14"/>
    </row>
    <row r="203" spans="1:12" ht="28" x14ac:dyDescent="0.2">
      <c r="A203" s="13" t="s">
        <v>923</v>
      </c>
      <c r="B203" s="13" t="s">
        <v>58</v>
      </c>
      <c r="C203" s="13" t="s">
        <v>169</v>
      </c>
      <c r="D203" s="13" t="s">
        <v>52</v>
      </c>
      <c r="E203" s="13" t="s">
        <v>924</v>
      </c>
      <c r="F203" s="13" t="s">
        <v>126</v>
      </c>
      <c r="G203" s="13" t="s">
        <v>32</v>
      </c>
      <c r="H203" s="13" t="s">
        <v>925</v>
      </c>
      <c r="I203" s="13" t="s">
        <v>926</v>
      </c>
      <c r="J203" s="13"/>
      <c r="K203" s="14"/>
      <c r="L203" s="14"/>
    </row>
    <row r="204" spans="1:12" ht="28" x14ac:dyDescent="0.2">
      <c r="A204" s="13" t="s">
        <v>927</v>
      </c>
      <c r="B204" s="13" t="s">
        <v>58</v>
      </c>
      <c r="C204" s="13" t="s">
        <v>169</v>
      </c>
      <c r="D204" s="13" t="s">
        <v>52</v>
      </c>
      <c r="E204" s="13" t="s">
        <v>928</v>
      </c>
      <c r="F204" s="13" t="s">
        <v>126</v>
      </c>
      <c r="G204" s="13" t="s">
        <v>33</v>
      </c>
      <c r="H204" s="13" t="s">
        <v>929</v>
      </c>
      <c r="I204" s="13" t="s">
        <v>930</v>
      </c>
      <c r="J204" s="13"/>
      <c r="K204" s="14"/>
      <c r="L204" s="14"/>
    </row>
    <row r="205" spans="1:12" ht="28" x14ac:dyDescent="0.2">
      <c r="A205" s="13" t="s">
        <v>931</v>
      </c>
      <c r="B205" s="13" t="s">
        <v>58</v>
      </c>
      <c r="C205" s="13" t="s">
        <v>169</v>
      </c>
      <c r="D205" s="13" t="s">
        <v>52</v>
      </c>
      <c r="E205" s="13" t="s">
        <v>932</v>
      </c>
      <c r="F205" s="13" t="s">
        <v>126</v>
      </c>
      <c r="G205" s="13" t="s">
        <v>32</v>
      </c>
      <c r="H205" s="13" t="s">
        <v>933</v>
      </c>
      <c r="I205" s="13" t="s">
        <v>934</v>
      </c>
      <c r="J205" s="13"/>
      <c r="K205" s="14"/>
      <c r="L205" s="14"/>
    </row>
    <row r="206" spans="1:12" ht="28" x14ac:dyDescent="0.2">
      <c r="A206" s="13" t="s">
        <v>935</v>
      </c>
      <c r="B206" s="13" t="s">
        <v>58</v>
      </c>
      <c r="C206" s="13" t="s">
        <v>169</v>
      </c>
      <c r="D206" s="13" t="s">
        <v>52</v>
      </c>
      <c r="E206" s="13" t="s">
        <v>936</v>
      </c>
      <c r="F206" s="13" t="s">
        <v>126</v>
      </c>
      <c r="G206" s="13" t="s">
        <v>33</v>
      </c>
      <c r="H206" s="13" t="s">
        <v>937</v>
      </c>
      <c r="I206" s="13" t="s">
        <v>938</v>
      </c>
      <c r="J206" s="13"/>
      <c r="K206" s="14"/>
      <c r="L206" s="14"/>
    </row>
    <row r="207" spans="1:12" ht="28" x14ac:dyDescent="0.2">
      <c r="A207" s="13" t="s">
        <v>939</v>
      </c>
      <c r="B207" s="13" t="s">
        <v>60</v>
      </c>
      <c r="C207" s="13" t="s">
        <v>124</v>
      </c>
      <c r="D207" s="13" t="s">
        <v>39</v>
      </c>
      <c r="E207" s="13" t="s">
        <v>940</v>
      </c>
      <c r="F207" s="13" t="s">
        <v>126</v>
      </c>
      <c r="G207" s="13" t="s">
        <v>32</v>
      </c>
      <c r="H207" s="13" t="s">
        <v>941</v>
      </c>
      <c r="I207" s="13" t="s">
        <v>942</v>
      </c>
      <c r="J207" s="13"/>
      <c r="K207" s="14"/>
      <c r="L207" s="14"/>
    </row>
    <row r="208" spans="1:12" ht="28" x14ac:dyDescent="0.2">
      <c r="A208" s="13" t="s">
        <v>943</v>
      </c>
      <c r="B208" s="13" t="s">
        <v>60</v>
      </c>
      <c r="C208" s="13" t="s">
        <v>124</v>
      </c>
      <c r="D208" s="13" t="s">
        <v>39</v>
      </c>
      <c r="E208" s="13" t="s">
        <v>944</v>
      </c>
      <c r="F208" s="13" t="s">
        <v>126</v>
      </c>
      <c r="G208" s="13" t="s">
        <v>33</v>
      </c>
      <c r="H208" s="13" t="s">
        <v>945</v>
      </c>
      <c r="I208" s="13" t="s">
        <v>946</v>
      </c>
      <c r="J208" s="13"/>
      <c r="K208" s="14"/>
      <c r="L208" s="14"/>
    </row>
    <row r="209" spans="1:12" ht="28" x14ac:dyDescent="0.2">
      <c r="A209" s="13" t="s">
        <v>947</v>
      </c>
      <c r="B209" s="13" t="s">
        <v>60</v>
      </c>
      <c r="C209" s="13" t="s">
        <v>124</v>
      </c>
      <c r="D209" s="13" t="s">
        <v>39</v>
      </c>
      <c r="E209" s="13" t="s">
        <v>948</v>
      </c>
      <c r="F209" s="13" t="s">
        <v>126</v>
      </c>
      <c r="G209" s="13" t="s">
        <v>33</v>
      </c>
      <c r="H209" s="13" t="s">
        <v>949</v>
      </c>
      <c r="I209" s="13" t="s">
        <v>950</v>
      </c>
      <c r="J209" s="13"/>
      <c r="K209" s="14"/>
      <c r="L209" s="14"/>
    </row>
    <row r="210" spans="1:12" ht="28" x14ac:dyDescent="0.2">
      <c r="A210" s="13" t="s">
        <v>951</v>
      </c>
      <c r="B210" s="13" t="s">
        <v>60</v>
      </c>
      <c r="C210" s="13" t="s">
        <v>124</v>
      </c>
      <c r="D210" s="13" t="s">
        <v>39</v>
      </c>
      <c r="E210" s="13" t="s">
        <v>952</v>
      </c>
      <c r="F210" s="13" t="s">
        <v>153</v>
      </c>
      <c r="G210" s="13" t="s">
        <v>33</v>
      </c>
      <c r="H210" s="13" t="s">
        <v>953</v>
      </c>
      <c r="I210" s="13" t="s">
        <v>954</v>
      </c>
      <c r="J210" s="13"/>
      <c r="K210" s="14"/>
      <c r="L210" s="14"/>
    </row>
    <row r="211" spans="1:12" ht="28" x14ac:dyDescent="0.2">
      <c r="A211" s="13" t="s">
        <v>955</v>
      </c>
      <c r="B211" s="13" t="s">
        <v>60</v>
      </c>
      <c r="C211" s="13" t="s">
        <v>124</v>
      </c>
      <c r="D211" s="13" t="s">
        <v>39</v>
      </c>
      <c r="E211" s="13" t="s">
        <v>956</v>
      </c>
      <c r="F211" s="13" t="s">
        <v>126</v>
      </c>
      <c r="G211" s="13" t="s">
        <v>32</v>
      </c>
      <c r="H211" s="13" t="s">
        <v>957</v>
      </c>
      <c r="I211" s="13" t="s">
        <v>958</v>
      </c>
      <c r="J211" s="13"/>
      <c r="K211" s="14"/>
      <c r="L211" s="14"/>
    </row>
    <row r="212" spans="1:12" ht="28" x14ac:dyDescent="0.2">
      <c r="A212" s="13" t="s">
        <v>959</v>
      </c>
      <c r="B212" s="13" t="s">
        <v>60</v>
      </c>
      <c r="C212" s="13" t="s">
        <v>124</v>
      </c>
      <c r="D212" s="13" t="s">
        <v>39</v>
      </c>
      <c r="E212" s="13" t="s">
        <v>960</v>
      </c>
      <c r="F212" s="13" t="s">
        <v>153</v>
      </c>
      <c r="G212" s="13" t="s">
        <v>33</v>
      </c>
      <c r="H212" s="13" t="s">
        <v>961</v>
      </c>
      <c r="I212" s="13" t="s">
        <v>962</v>
      </c>
      <c r="J212" s="13"/>
      <c r="K212" s="14"/>
      <c r="L212" s="14"/>
    </row>
    <row r="213" spans="1:12" ht="28" x14ac:dyDescent="0.2">
      <c r="A213" s="13" t="s">
        <v>963</v>
      </c>
      <c r="B213" s="13" t="s">
        <v>62</v>
      </c>
      <c r="C213" s="13" t="s">
        <v>124</v>
      </c>
      <c r="D213" s="13" t="s">
        <v>39</v>
      </c>
      <c r="E213" s="13" t="s">
        <v>964</v>
      </c>
      <c r="F213" s="13" t="s">
        <v>126</v>
      </c>
      <c r="G213" s="13" t="s">
        <v>32</v>
      </c>
      <c r="H213" s="13" t="s">
        <v>965</v>
      </c>
      <c r="I213" s="13" t="s">
        <v>966</v>
      </c>
      <c r="J213" s="13"/>
      <c r="K213" s="14"/>
      <c r="L213" s="14"/>
    </row>
    <row r="214" spans="1:12" ht="28" x14ac:dyDescent="0.2">
      <c r="A214" s="13" t="s">
        <v>967</v>
      </c>
      <c r="B214" s="13" t="s">
        <v>62</v>
      </c>
      <c r="C214" s="13" t="s">
        <v>124</v>
      </c>
      <c r="D214" s="13" t="s">
        <v>39</v>
      </c>
      <c r="E214" s="13" t="s">
        <v>968</v>
      </c>
      <c r="F214" s="13" t="s">
        <v>183</v>
      </c>
      <c r="G214" s="13" t="s">
        <v>33</v>
      </c>
      <c r="H214" s="13" t="s">
        <v>969</v>
      </c>
      <c r="I214" s="13" t="s">
        <v>970</v>
      </c>
      <c r="J214" s="13"/>
      <c r="K214" s="14"/>
      <c r="L214" s="14"/>
    </row>
    <row r="215" spans="1:12" ht="42" x14ac:dyDescent="0.2">
      <c r="A215" s="13" t="s">
        <v>971</v>
      </c>
      <c r="B215" s="13" t="s">
        <v>62</v>
      </c>
      <c r="C215" s="13" t="s">
        <v>124</v>
      </c>
      <c r="D215" s="13" t="s">
        <v>39</v>
      </c>
      <c r="E215" s="13" t="s">
        <v>972</v>
      </c>
      <c r="F215" s="13" t="s">
        <v>126</v>
      </c>
      <c r="G215" s="13" t="s">
        <v>33</v>
      </c>
      <c r="H215" s="13" t="s">
        <v>973</v>
      </c>
      <c r="I215" s="13" t="s">
        <v>974</v>
      </c>
      <c r="J215" s="13"/>
      <c r="K215" s="14"/>
      <c r="L215" s="14"/>
    </row>
    <row r="216" spans="1:12" ht="28" x14ac:dyDescent="0.2">
      <c r="A216" s="13" t="s">
        <v>975</v>
      </c>
      <c r="B216" s="13" t="s">
        <v>62</v>
      </c>
      <c r="C216" s="13" t="s">
        <v>124</v>
      </c>
      <c r="D216" s="13" t="s">
        <v>39</v>
      </c>
      <c r="E216" s="13" t="s">
        <v>207</v>
      </c>
      <c r="F216" s="13" t="s">
        <v>183</v>
      </c>
      <c r="G216" s="13" t="s">
        <v>33</v>
      </c>
      <c r="H216" s="13" t="s">
        <v>976</v>
      </c>
      <c r="I216" s="13" t="s">
        <v>977</v>
      </c>
      <c r="J216" s="13"/>
      <c r="K216" s="14"/>
      <c r="L216" s="14"/>
    </row>
    <row r="217" spans="1:12" ht="28" x14ac:dyDescent="0.2">
      <c r="A217" s="13" t="s">
        <v>978</v>
      </c>
      <c r="B217" s="13" t="s">
        <v>62</v>
      </c>
      <c r="C217" s="13" t="s">
        <v>124</v>
      </c>
      <c r="D217" s="13" t="s">
        <v>39</v>
      </c>
      <c r="E217" s="13" t="s">
        <v>979</v>
      </c>
      <c r="F217" s="13" t="s">
        <v>126</v>
      </c>
      <c r="G217" s="13" t="s">
        <v>33</v>
      </c>
      <c r="H217" s="13" t="s">
        <v>980</v>
      </c>
      <c r="I217" s="13" t="s">
        <v>981</v>
      </c>
      <c r="J217" s="13"/>
      <c r="K217" s="14"/>
      <c r="L217" s="14"/>
    </row>
    <row r="218" spans="1:12" ht="28" x14ac:dyDescent="0.2">
      <c r="A218" s="13" t="s">
        <v>982</v>
      </c>
      <c r="B218" s="13" t="s">
        <v>62</v>
      </c>
      <c r="C218" s="13" t="s">
        <v>124</v>
      </c>
      <c r="D218" s="13" t="s">
        <v>39</v>
      </c>
      <c r="E218" s="13" t="s">
        <v>983</v>
      </c>
      <c r="F218" s="13" t="s">
        <v>126</v>
      </c>
      <c r="G218" s="13" t="s">
        <v>33</v>
      </c>
      <c r="H218" s="13" t="s">
        <v>984</v>
      </c>
      <c r="I218" s="13" t="s">
        <v>985</v>
      </c>
      <c r="J218" s="13"/>
      <c r="K218" s="14"/>
      <c r="L218" s="14"/>
    </row>
    <row r="219" spans="1:12" ht="42" x14ac:dyDescent="0.2">
      <c r="A219" s="13" t="s">
        <v>986</v>
      </c>
      <c r="B219" s="13" t="s">
        <v>62</v>
      </c>
      <c r="C219" s="13" t="s">
        <v>124</v>
      </c>
      <c r="D219" s="13" t="s">
        <v>39</v>
      </c>
      <c r="E219" s="13" t="s">
        <v>987</v>
      </c>
      <c r="F219" s="13" t="s">
        <v>126</v>
      </c>
      <c r="G219" s="13" t="s">
        <v>33</v>
      </c>
      <c r="H219" s="13" t="s">
        <v>988</v>
      </c>
      <c r="I219" s="13" t="s">
        <v>989</v>
      </c>
      <c r="J219" s="13"/>
      <c r="K219" s="14"/>
      <c r="L219" s="14"/>
    </row>
    <row r="220" spans="1:12" ht="28" x14ac:dyDescent="0.2">
      <c r="A220" s="13" t="s">
        <v>990</v>
      </c>
      <c r="B220" s="13" t="s">
        <v>62</v>
      </c>
      <c r="C220" s="13" t="s">
        <v>124</v>
      </c>
      <c r="D220" s="13" t="s">
        <v>39</v>
      </c>
      <c r="E220" s="13" t="s">
        <v>991</v>
      </c>
      <c r="F220" s="13" t="s">
        <v>126</v>
      </c>
      <c r="G220" s="13" t="s">
        <v>33</v>
      </c>
      <c r="H220" s="13" t="s">
        <v>992</v>
      </c>
      <c r="I220" s="13" t="s">
        <v>993</v>
      </c>
      <c r="J220" s="13"/>
      <c r="K220" s="14"/>
      <c r="L220" s="14"/>
    </row>
    <row r="221" spans="1:12" ht="28" x14ac:dyDescent="0.2">
      <c r="A221" s="13" t="s">
        <v>994</v>
      </c>
      <c r="B221" s="13" t="s">
        <v>62</v>
      </c>
      <c r="C221" s="13" t="s">
        <v>124</v>
      </c>
      <c r="D221" s="13" t="s">
        <v>39</v>
      </c>
      <c r="E221" s="13" t="s">
        <v>995</v>
      </c>
      <c r="F221" s="13" t="s">
        <v>126</v>
      </c>
      <c r="G221" s="13" t="s">
        <v>32</v>
      </c>
      <c r="H221" s="13" t="s">
        <v>996</v>
      </c>
      <c r="I221" s="13" t="s">
        <v>997</v>
      </c>
      <c r="J221" s="13"/>
      <c r="K221" s="14"/>
      <c r="L221" s="14"/>
    </row>
    <row r="222" spans="1:12" ht="28" x14ac:dyDescent="0.2">
      <c r="A222" s="13" t="s">
        <v>998</v>
      </c>
      <c r="B222" s="13" t="s">
        <v>62</v>
      </c>
      <c r="C222" s="13" t="s">
        <v>124</v>
      </c>
      <c r="D222" s="13" t="s">
        <v>39</v>
      </c>
      <c r="E222" s="13" t="s">
        <v>952</v>
      </c>
      <c r="F222" s="13" t="s">
        <v>153</v>
      </c>
      <c r="G222" s="13" t="s">
        <v>33</v>
      </c>
      <c r="H222" s="13" t="s">
        <v>999</v>
      </c>
      <c r="I222" s="13" t="s">
        <v>1000</v>
      </c>
      <c r="J222" s="13"/>
      <c r="K222" s="14"/>
      <c r="L222" s="14"/>
    </row>
    <row r="223" spans="1:12" ht="28" x14ac:dyDescent="0.2">
      <c r="A223" s="13" t="s">
        <v>1001</v>
      </c>
      <c r="B223" s="13" t="s">
        <v>62</v>
      </c>
      <c r="C223" s="13" t="s">
        <v>169</v>
      </c>
      <c r="D223" s="13" t="s">
        <v>39</v>
      </c>
      <c r="E223" s="13" t="s">
        <v>1002</v>
      </c>
      <c r="F223" s="13" t="s">
        <v>126</v>
      </c>
      <c r="G223" s="13" t="s">
        <v>32</v>
      </c>
      <c r="H223" s="13" t="s">
        <v>1003</v>
      </c>
      <c r="I223" s="13" t="s">
        <v>1004</v>
      </c>
      <c r="J223" s="13"/>
      <c r="K223" s="14"/>
      <c r="L223" s="14"/>
    </row>
    <row r="224" spans="1:12" ht="28" x14ac:dyDescent="0.2">
      <c r="A224" s="13" t="s">
        <v>1005</v>
      </c>
      <c r="B224" s="13" t="s">
        <v>62</v>
      </c>
      <c r="C224" s="13" t="s">
        <v>169</v>
      </c>
      <c r="D224" s="13" t="s">
        <v>39</v>
      </c>
      <c r="E224" s="13" t="s">
        <v>1006</v>
      </c>
      <c r="F224" s="13" t="s">
        <v>126</v>
      </c>
      <c r="G224" s="13" t="s">
        <v>32</v>
      </c>
      <c r="H224" s="13" t="s">
        <v>1007</v>
      </c>
      <c r="I224" s="13" t="s">
        <v>1008</v>
      </c>
      <c r="J224" s="13"/>
      <c r="K224" s="14"/>
      <c r="L224" s="14"/>
    </row>
    <row r="225" spans="1:12" ht="28" x14ac:dyDescent="0.2">
      <c r="A225" s="13" t="s">
        <v>1009</v>
      </c>
      <c r="B225" s="13" t="s">
        <v>62</v>
      </c>
      <c r="C225" s="13" t="s">
        <v>169</v>
      </c>
      <c r="D225" s="13" t="s">
        <v>39</v>
      </c>
      <c r="E225" s="13" t="s">
        <v>1010</v>
      </c>
      <c r="F225" s="13" t="s">
        <v>126</v>
      </c>
      <c r="G225" s="13" t="s">
        <v>32</v>
      </c>
      <c r="H225" s="13" t="s">
        <v>1011</v>
      </c>
      <c r="I225" s="13" t="s">
        <v>1012</v>
      </c>
      <c r="J225" s="13"/>
      <c r="K225" s="14"/>
      <c r="L225" s="14"/>
    </row>
    <row r="226" spans="1:12" x14ac:dyDescent="0.2">
      <c r="A226" s="13" t="s">
        <v>1013</v>
      </c>
      <c r="B226" s="13" t="s">
        <v>62</v>
      </c>
      <c r="C226" s="13" t="s">
        <v>169</v>
      </c>
      <c r="D226" s="13" t="s">
        <v>39</v>
      </c>
      <c r="E226" s="13" t="s">
        <v>1014</v>
      </c>
      <c r="F226" s="13" t="s">
        <v>126</v>
      </c>
      <c r="G226" s="13" t="s">
        <v>32</v>
      </c>
      <c r="H226" s="13" t="s">
        <v>1015</v>
      </c>
      <c r="I226" s="13" t="s">
        <v>1016</v>
      </c>
      <c r="J226" s="13"/>
      <c r="K226" s="14"/>
      <c r="L226" s="14"/>
    </row>
    <row r="227" spans="1:12" ht="28" x14ac:dyDescent="0.2">
      <c r="A227" s="13" t="s">
        <v>1017</v>
      </c>
      <c r="B227" s="13" t="s">
        <v>62</v>
      </c>
      <c r="C227" s="13" t="s">
        <v>169</v>
      </c>
      <c r="D227" s="13" t="s">
        <v>39</v>
      </c>
      <c r="E227" s="13" t="s">
        <v>1018</v>
      </c>
      <c r="F227" s="13" t="s">
        <v>126</v>
      </c>
      <c r="G227" s="13" t="s">
        <v>32</v>
      </c>
      <c r="H227" s="13" t="s">
        <v>1019</v>
      </c>
      <c r="I227" s="13" t="s">
        <v>1020</v>
      </c>
      <c r="J227" s="13"/>
      <c r="K227" s="14"/>
      <c r="L227" s="14"/>
    </row>
    <row r="228" spans="1:12" ht="28" x14ac:dyDescent="0.2">
      <c r="A228" s="13" t="s">
        <v>1021</v>
      </c>
      <c r="B228" s="13" t="s">
        <v>62</v>
      </c>
      <c r="C228" s="13" t="s">
        <v>169</v>
      </c>
      <c r="D228" s="13" t="s">
        <v>39</v>
      </c>
      <c r="E228" s="13" t="s">
        <v>1022</v>
      </c>
      <c r="F228" s="13" t="s">
        <v>126</v>
      </c>
      <c r="G228" s="13" t="s">
        <v>33</v>
      </c>
      <c r="H228" s="13" t="s">
        <v>1023</v>
      </c>
      <c r="I228" s="13" t="s">
        <v>1024</v>
      </c>
      <c r="J228" s="13"/>
      <c r="K228" s="14"/>
      <c r="L228" s="14"/>
    </row>
    <row r="229" spans="1:12" ht="56" x14ac:dyDescent="0.2">
      <c r="A229" s="13" t="s">
        <v>1025</v>
      </c>
      <c r="B229" s="13" t="s">
        <v>62</v>
      </c>
      <c r="C229" s="13" t="s">
        <v>169</v>
      </c>
      <c r="D229" s="13" t="s">
        <v>39</v>
      </c>
      <c r="E229" s="13" t="s">
        <v>1026</v>
      </c>
      <c r="F229" s="13" t="s">
        <v>126</v>
      </c>
      <c r="G229" s="13" t="s">
        <v>33</v>
      </c>
      <c r="H229" s="13" t="s">
        <v>1027</v>
      </c>
      <c r="I229" s="13" t="s">
        <v>1028</v>
      </c>
      <c r="J229" s="13"/>
      <c r="K229" s="14"/>
      <c r="L229" s="14"/>
    </row>
    <row r="230" spans="1:12" ht="28" x14ac:dyDescent="0.2">
      <c r="A230" s="13" t="s">
        <v>1029</v>
      </c>
      <c r="B230" s="13" t="s">
        <v>62</v>
      </c>
      <c r="C230" s="13" t="s">
        <v>169</v>
      </c>
      <c r="D230" s="13" t="s">
        <v>39</v>
      </c>
      <c r="E230" s="13" t="s">
        <v>1030</v>
      </c>
      <c r="F230" s="13" t="s">
        <v>126</v>
      </c>
      <c r="G230" s="13" t="s">
        <v>34</v>
      </c>
      <c r="H230" s="13" t="s">
        <v>1031</v>
      </c>
      <c r="I230" s="13" t="s">
        <v>1032</v>
      </c>
      <c r="J230" s="13"/>
      <c r="K230" s="14"/>
      <c r="L230" s="14"/>
    </row>
    <row r="231" spans="1:12" ht="28" x14ac:dyDescent="0.2">
      <c r="A231" s="13" t="s">
        <v>1033</v>
      </c>
      <c r="B231" s="13" t="s">
        <v>62</v>
      </c>
      <c r="C231" s="13" t="s">
        <v>169</v>
      </c>
      <c r="D231" s="13" t="s">
        <v>39</v>
      </c>
      <c r="E231" s="13" t="s">
        <v>1034</v>
      </c>
      <c r="F231" s="13" t="s">
        <v>126</v>
      </c>
      <c r="G231" s="13" t="s">
        <v>33</v>
      </c>
      <c r="H231" s="13" t="s">
        <v>1035</v>
      </c>
      <c r="I231" s="13" t="s">
        <v>1036</v>
      </c>
      <c r="J231" s="13"/>
      <c r="K231" s="14"/>
      <c r="L231" s="14"/>
    </row>
    <row r="232" spans="1:12" ht="28" x14ac:dyDescent="0.2">
      <c r="A232" s="13" t="s">
        <v>1037</v>
      </c>
      <c r="B232" s="13" t="s">
        <v>62</v>
      </c>
      <c r="C232" s="13" t="s">
        <v>169</v>
      </c>
      <c r="D232" s="13" t="s">
        <v>39</v>
      </c>
      <c r="E232" s="13" t="s">
        <v>1038</v>
      </c>
      <c r="F232" s="13" t="s">
        <v>126</v>
      </c>
      <c r="G232" s="13" t="s">
        <v>34</v>
      </c>
      <c r="H232" s="13" t="s">
        <v>1039</v>
      </c>
      <c r="I232" s="13" t="s">
        <v>1040</v>
      </c>
      <c r="J232" s="13"/>
      <c r="K232" s="14"/>
      <c r="L232" s="14"/>
    </row>
    <row r="233" spans="1:12" ht="28" x14ac:dyDescent="0.2">
      <c r="A233" s="13" t="s">
        <v>1041</v>
      </c>
      <c r="B233" s="13" t="s">
        <v>62</v>
      </c>
      <c r="C233" s="13" t="s">
        <v>169</v>
      </c>
      <c r="D233" s="13" t="s">
        <v>39</v>
      </c>
      <c r="E233" s="13" t="s">
        <v>1042</v>
      </c>
      <c r="F233" s="13" t="s">
        <v>126</v>
      </c>
      <c r="G233" s="13" t="s">
        <v>32</v>
      </c>
      <c r="H233" s="13" t="s">
        <v>1043</v>
      </c>
      <c r="I233" s="13" t="s">
        <v>1044</v>
      </c>
      <c r="J233" s="13"/>
      <c r="K233" s="14"/>
      <c r="L233" s="14"/>
    </row>
    <row r="234" spans="1:12" ht="42" x14ac:dyDescent="0.2">
      <c r="A234" s="13" t="s">
        <v>1045</v>
      </c>
      <c r="B234" s="13" t="s">
        <v>62</v>
      </c>
      <c r="C234" s="13" t="s">
        <v>169</v>
      </c>
      <c r="D234" s="13" t="s">
        <v>39</v>
      </c>
      <c r="E234" s="13" t="s">
        <v>1046</v>
      </c>
      <c r="F234" s="13" t="s">
        <v>126</v>
      </c>
      <c r="G234" s="13" t="s">
        <v>33</v>
      </c>
      <c r="H234" s="13" t="s">
        <v>1047</v>
      </c>
      <c r="I234" s="13" t="s">
        <v>1048</v>
      </c>
      <c r="J234" s="13"/>
      <c r="K234" s="14"/>
      <c r="L234" s="14"/>
    </row>
    <row r="235" spans="1:12" ht="28" x14ac:dyDescent="0.2">
      <c r="A235" s="13" t="s">
        <v>1049</v>
      </c>
      <c r="B235" s="13" t="s">
        <v>62</v>
      </c>
      <c r="C235" s="13" t="s">
        <v>169</v>
      </c>
      <c r="D235" s="13" t="s">
        <v>39</v>
      </c>
      <c r="E235" s="13" t="s">
        <v>1050</v>
      </c>
      <c r="F235" s="13" t="s">
        <v>183</v>
      </c>
      <c r="G235" s="13" t="s">
        <v>32</v>
      </c>
      <c r="H235" s="13" t="s">
        <v>1051</v>
      </c>
      <c r="I235" s="13" t="s">
        <v>1052</v>
      </c>
      <c r="J235" s="13"/>
      <c r="K235" s="14"/>
      <c r="L235" s="14"/>
    </row>
    <row r="236" spans="1:12" ht="28" x14ac:dyDescent="0.2">
      <c r="A236" s="13" t="s">
        <v>1053</v>
      </c>
      <c r="B236" s="13" t="s">
        <v>62</v>
      </c>
      <c r="C236" s="13" t="s">
        <v>169</v>
      </c>
      <c r="D236" s="13" t="s">
        <v>39</v>
      </c>
      <c r="E236" s="13" t="s">
        <v>1054</v>
      </c>
      <c r="F236" s="13" t="s">
        <v>126</v>
      </c>
      <c r="G236" s="13" t="s">
        <v>33</v>
      </c>
      <c r="H236" s="13" t="s">
        <v>1055</v>
      </c>
      <c r="I236" s="13" t="s">
        <v>1056</v>
      </c>
      <c r="J236" s="13"/>
      <c r="K236" s="14"/>
      <c r="L236" s="14"/>
    </row>
    <row r="237" spans="1:12" ht="28" x14ac:dyDescent="0.2">
      <c r="A237" s="13" t="s">
        <v>1057</v>
      </c>
      <c r="B237" s="13" t="s">
        <v>62</v>
      </c>
      <c r="C237" s="13" t="s">
        <v>169</v>
      </c>
      <c r="D237" s="13" t="s">
        <v>39</v>
      </c>
      <c r="E237" s="13" t="s">
        <v>995</v>
      </c>
      <c r="F237" s="13" t="s">
        <v>126</v>
      </c>
      <c r="G237" s="13" t="s">
        <v>32</v>
      </c>
      <c r="H237" s="13" t="s">
        <v>1058</v>
      </c>
      <c r="I237" s="13" t="s">
        <v>1059</v>
      </c>
      <c r="J237" s="13"/>
      <c r="K237" s="14"/>
      <c r="L237" s="14"/>
    </row>
    <row r="238" spans="1:12" ht="28" x14ac:dyDescent="0.2">
      <c r="A238" s="13" t="s">
        <v>1060</v>
      </c>
      <c r="B238" s="13" t="s">
        <v>62</v>
      </c>
      <c r="C238" s="13" t="s">
        <v>169</v>
      </c>
      <c r="D238" s="13" t="s">
        <v>39</v>
      </c>
      <c r="E238" s="13" t="s">
        <v>979</v>
      </c>
      <c r="F238" s="13" t="s">
        <v>126</v>
      </c>
      <c r="G238" s="13" t="s">
        <v>33</v>
      </c>
      <c r="H238" s="13" t="s">
        <v>1061</v>
      </c>
      <c r="I238" s="13" t="s">
        <v>1062</v>
      </c>
      <c r="J238" s="13"/>
      <c r="K238" s="14"/>
      <c r="L238" s="14"/>
    </row>
    <row r="239" spans="1:12" ht="28" x14ac:dyDescent="0.2">
      <c r="A239" s="13" t="s">
        <v>1063</v>
      </c>
      <c r="B239" s="13" t="s">
        <v>62</v>
      </c>
      <c r="C239" s="13" t="s">
        <v>169</v>
      </c>
      <c r="D239" s="13" t="s">
        <v>39</v>
      </c>
      <c r="E239" s="13" t="s">
        <v>1064</v>
      </c>
      <c r="F239" s="13" t="s">
        <v>126</v>
      </c>
      <c r="G239" s="13" t="s">
        <v>33</v>
      </c>
      <c r="H239" s="13" t="s">
        <v>1065</v>
      </c>
      <c r="I239" s="13" t="s">
        <v>1066</v>
      </c>
      <c r="J239" s="13"/>
      <c r="K239" s="14"/>
      <c r="L239" s="14"/>
    </row>
    <row r="240" spans="1:12" ht="42" x14ac:dyDescent="0.2">
      <c r="A240" s="13" t="s">
        <v>1067</v>
      </c>
      <c r="B240" s="13" t="s">
        <v>62</v>
      </c>
      <c r="C240" s="13" t="s">
        <v>169</v>
      </c>
      <c r="D240" s="13" t="s">
        <v>39</v>
      </c>
      <c r="E240" s="13" t="s">
        <v>1068</v>
      </c>
      <c r="F240" s="13" t="s">
        <v>126</v>
      </c>
      <c r="G240" s="13" t="s">
        <v>33</v>
      </c>
      <c r="H240" s="13" t="s">
        <v>1069</v>
      </c>
      <c r="I240" s="13" t="s">
        <v>1070</v>
      </c>
      <c r="J240" s="13"/>
      <c r="K240" s="14"/>
      <c r="L240" s="14"/>
    </row>
    <row r="241" spans="1:12" ht="28" x14ac:dyDescent="0.2">
      <c r="A241" s="13" t="s">
        <v>1071</v>
      </c>
      <c r="B241" s="13" t="s">
        <v>62</v>
      </c>
      <c r="C241" s="13" t="s">
        <v>169</v>
      </c>
      <c r="D241" s="13" t="s">
        <v>39</v>
      </c>
      <c r="E241" s="13" t="s">
        <v>1072</v>
      </c>
      <c r="F241" s="13" t="s">
        <v>183</v>
      </c>
      <c r="G241" s="13" t="s">
        <v>33</v>
      </c>
      <c r="H241" s="13" t="s">
        <v>1073</v>
      </c>
      <c r="I241" s="13" t="s">
        <v>1074</v>
      </c>
      <c r="J241" s="13"/>
      <c r="K241" s="14"/>
      <c r="L241" s="14"/>
    </row>
    <row r="242" spans="1:12" ht="42" x14ac:dyDescent="0.2">
      <c r="A242" s="13" t="s">
        <v>1075</v>
      </c>
      <c r="B242" s="13" t="s">
        <v>62</v>
      </c>
      <c r="C242" s="13" t="s">
        <v>169</v>
      </c>
      <c r="D242" s="13" t="s">
        <v>39</v>
      </c>
      <c r="E242" s="13" t="s">
        <v>968</v>
      </c>
      <c r="F242" s="13" t="s">
        <v>126</v>
      </c>
      <c r="G242" s="13" t="s">
        <v>32</v>
      </c>
      <c r="H242" s="13" t="s">
        <v>1076</v>
      </c>
      <c r="I242" s="13" t="s">
        <v>1077</v>
      </c>
      <c r="J242" s="13"/>
      <c r="K242" s="14"/>
      <c r="L242" s="14"/>
    </row>
    <row r="243" spans="1:12" ht="28" x14ac:dyDescent="0.2">
      <c r="A243" s="13" t="s">
        <v>1078</v>
      </c>
      <c r="B243" s="13" t="s">
        <v>62</v>
      </c>
      <c r="C243" s="13" t="s">
        <v>169</v>
      </c>
      <c r="D243" s="13" t="s">
        <v>39</v>
      </c>
      <c r="E243" s="13" t="s">
        <v>983</v>
      </c>
      <c r="F243" s="13" t="s">
        <v>126</v>
      </c>
      <c r="G243" s="13" t="s">
        <v>33</v>
      </c>
      <c r="H243" s="13" t="s">
        <v>1079</v>
      </c>
      <c r="I243" s="13" t="s">
        <v>1080</v>
      </c>
      <c r="J243" s="13"/>
      <c r="K243" s="14"/>
      <c r="L243" s="14"/>
    </row>
    <row r="244" spans="1:12" ht="42" x14ac:dyDescent="0.2">
      <c r="A244" s="13" t="s">
        <v>1081</v>
      </c>
      <c r="B244" s="13" t="s">
        <v>62</v>
      </c>
      <c r="C244" s="13" t="s">
        <v>169</v>
      </c>
      <c r="D244" s="13" t="s">
        <v>39</v>
      </c>
      <c r="E244" s="13" t="s">
        <v>1082</v>
      </c>
      <c r="F244" s="13" t="s">
        <v>126</v>
      </c>
      <c r="G244" s="13" t="s">
        <v>34</v>
      </c>
      <c r="H244" s="13" t="s">
        <v>1083</v>
      </c>
      <c r="I244" s="13" t="s">
        <v>1084</v>
      </c>
      <c r="J244" s="13"/>
      <c r="K244" s="14"/>
      <c r="L244" s="14"/>
    </row>
    <row r="245" spans="1:12" ht="28" x14ac:dyDescent="0.2">
      <c r="A245" s="13" t="s">
        <v>1085</v>
      </c>
      <c r="B245" s="13" t="s">
        <v>62</v>
      </c>
      <c r="C245" s="13" t="s">
        <v>169</v>
      </c>
      <c r="D245" s="13" t="s">
        <v>39</v>
      </c>
      <c r="E245" s="13" t="s">
        <v>948</v>
      </c>
      <c r="F245" s="13" t="s">
        <v>126</v>
      </c>
      <c r="G245" s="13" t="s">
        <v>33</v>
      </c>
      <c r="H245" s="13" t="s">
        <v>1086</v>
      </c>
      <c r="I245" s="13" t="s">
        <v>1087</v>
      </c>
      <c r="J245" s="13"/>
      <c r="K245" s="14"/>
      <c r="L245" s="14"/>
    </row>
    <row r="246" spans="1:12" ht="28" x14ac:dyDescent="0.2">
      <c r="A246" s="13" t="s">
        <v>1088</v>
      </c>
      <c r="B246" s="13" t="s">
        <v>62</v>
      </c>
      <c r="C246" s="13" t="s">
        <v>169</v>
      </c>
      <c r="D246" s="13" t="s">
        <v>39</v>
      </c>
      <c r="E246" s="13" t="s">
        <v>1089</v>
      </c>
      <c r="F246" s="13" t="s">
        <v>153</v>
      </c>
      <c r="G246" s="13" t="s">
        <v>33</v>
      </c>
      <c r="H246" s="13" t="s">
        <v>1090</v>
      </c>
      <c r="I246" s="13" t="s">
        <v>1091</v>
      </c>
      <c r="J246" s="13"/>
      <c r="K246" s="14"/>
      <c r="L246" s="14"/>
    </row>
    <row r="247" spans="1:12" ht="28" x14ac:dyDescent="0.2">
      <c r="A247" s="13" t="s">
        <v>1092</v>
      </c>
      <c r="B247" s="13" t="s">
        <v>64</v>
      </c>
      <c r="C247" s="13" t="s">
        <v>124</v>
      </c>
      <c r="D247" s="13" t="s">
        <v>39</v>
      </c>
      <c r="E247" s="13" t="s">
        <v>1093</v>
      </c>
      <c r="F247" s="13" t="s">
        <v>126</v>
      </c>
      <c r="G247" s="13" t="s">
        <v>33</v>
      </c>
      <c r="H247" s="13" t="s">
        <v>1094</v>
      </c>
      <c r="I247" s="13" t="s">
        <v>1095</v>
      </c>
      <c r="J247" s="13"/>
      <c r="K247" s="14"/>
      <c r="L247" s="14"/>
    </row>
    <row r="248" spans="1:12" ht="28" x14ac:dyDescent="0.2">
      <c r="A248" s="13" t="s">
        <v>1096</v>
      </c>
      <c r="B248" s="13" t="s">
        <v>64</v>
      </c>
      <c r="C248" s="13" t="s">
        <v>124</v>
      </c>
      <c r="D248" s="13" t="s">
        <v>39</v>
      </c>
      <c r="E248" s="13" t="s">
        <v>1097</v>
      </c>
      <c r="F248" s="13" t="s">
        <v>183</v>
      </c>
      <c r="G248" s="13" t="s">
        <v>33</v>
      </c>
      <c r="H248" s="13" t="s">
        <v>1098</v>
      </c>
      <c r="I248" s="13" t="s">
        <v>1099</v>
      </c>
      <c r="J248" s="13"/>
      <c r="K248" s="14"/>
      <c r="L248" s="14"/>
    </row>
    <row r="249" spans="1:12" ht="42" x14ac:dyDescent="0.2">
      <c r="A249" s="13" t="s">
        <v>1100</v>
      </c>
      <c r="B249" s="13" t="s">
        <v>64</v>
      </c>
      <c r="C249" s="13" t="s">
        <v>124</v>
      </c>
      <c r="D249" s="13" t="s">
        <v>39</v>
      </c>
      <c r="E249" s="13" t="s">
        <v>1101</v>
      </c>
      <c r="F249" s="13" t="s">
        <v>126</v>
      </c>
      <c r="G249" s="13" t="s">
        <v>33</v>
      </c>
      <c r="H249" s="13" t="s">
        <v>1102</v>
      </c>
      <c r="I249" s="13" t="s">
        <v>1103</v>
      </c>
      <c r="J249" s="13"/>
      <c r="K249" s="14"/>
      <c r="L249" s="14"/>
    </row>
    <row r="250" spans="1:12" ht="42" x14ac:dyDescent="0.2">
      <c r="A250" s="13" t="s">
        <v>1104</v>
      </c>
      <c r="B250" s="13" t="s">
        <v>64</v>
      </c>
      <c r="C250" s="13" t="s">
        <v>124</v>
      </c>
      <c r="D250" s="13" t="s">
        <v>39</v>
      </c>
      <c r="E250" s="13" t="s">
        <v>1105</v>
      </c>
      <c r="F250" s="13" t="s">
        <v>126</v>
      </c>
      <c r="G250" s="13" t="s">
        <v>33</v>
      </c>
      <c r="H250" s="13" t="s">
        <v>1106</v>
      </c>
      <c r="I250" s="13" t="s">
        <v>1107</v>
      </c>
      <c r="J250" s="13"/>
      <c r="K250" s="14"/>
      <c r="L250" s="14"/>
    </row>
    <row r="251" spans="1:12" ht="28" x14ac:dyDescent="0.2">
      <c r="A251" s="13" t="s">
        <v>1108</v>
      </c>
      <c r="B251" s="13" t="s">
        <v>64</v>
      </c>
      <c r="C251" s="13" t="s">
        <v>124</v>
      </c>
      <c r="D251" s="13" t="s">
        <v>39</v>
      </c>
      <c r="E251" s="13" t="s">
        <v>1109</v>
      </c>
      <c r="F251" s="13" t="s">
        <v>126</v>
      </c>
      <c r="G251" s="13" t="s">
        <v>32</v>
      </c>
      <c r="H251" s="13" t="s">
        <v>1110</v>
      </c>
      <c r="I251" s="13" t="s">
        <v>1111</v>
      </c>
      <c r="J251" s="13"/>
      <c r="K251" s="14"/>
      <c r="L251" s="14"/>
    </row>
    <row r="252" spans="1:12" ht="42" x14ac:dyDescent="0.2">
      <c r="A252" s="13" t="s">
        <v>1112</v>
      </c>
      <c r="B252" s="13" t="s">
        <v>64</v>
      </c>
      <c r="C252" s="13" t="s">
        <v>124</v>
      </c>
      <c r="D252" s="13" t="s">
        <v>39</v>
      </c>
      <c r="E252" s="13" t="s">
        <v>1113</v>
      </c>
      <c r="F252" s="13" t="s">
        <v>126</v>
      </c>
      <c r="G252" s="13" t="s">
        <v>33</v>
      </c>
      <c r="H252" s="13" t="s">
        <v>1114</v>
      </c>
      <c r="I252" s="13" t="s">
        <v>1115</v>
      </c>
      <c r="J252" s="13" t="s">
        <v>1116</v>
      </c>
      <c r="K252" s="14"/>
      <c r="L252" s="14"/>
    </row>
    <row r="253" spans="1:12" ht="28" x14ac:dyDescent="0.2">
      <c r="A253" s="13" t="s">
        <v>1117</v>
      </c>
      <c r="B253" s="13" t="s">
        <v>64</v>
      </c>
      <c r="C253" s="13" t="s">
        <v>124</v>
      </c>
      <c r="D253" s="13" t="s">
        <v>39</v>
      </c>
      <c r="E253" s="13" t="s">
        <v>1118</v>
      </c>
      <c r="F253" s="13" t="s">
        <v>126</v>
      </c>
      <c r="G253" s="13" t="s">
        <v>33</v>
      </c>
      <c r="H253" s="13" t="s">
        <v>1119</v>
      </c>
      <c r="I253" s="13" t="s">
        <v>1120</v>
      </c>
      <c r="J253" s="13"/>
      <c r="K253" s="14"/>
      <c r="L253" s="14"/>
    </row>
    <row r="254" spans="1:12" ht="42" x14ac:dyDescent="0.2">
      <c r="A254" s="13" t="s">
        <v>1121</v>
      </c>
      <c r="B254" s="13" t="s">
        <v>64</v>
      </c>
      <c r="C254" s="13" t="s">
        <v>124</v>
      </c>
      <c r="D254" s="13" t="s">
        <v>39</v>
      </c>
      <c r="E254" s="13" t="s">
        <v>1122</v>
      </c>
      <c r="F254" s="13" t="s">
        <v>126</v>
      </c>
      <c r="G254" s="13" t="s">
        <v>34</v>
      </c>
      <c r="H254" s="13" t="s">
        <v>1123</v>
      </c>
      <c r="I254" s="13" t="s">
        <v>1124</v>
      </c>
      <c r="J254" s="13"/>
      <c r="K254" s="14"/>
      <c r="L254" s="14"/>
    </row>
    <row r="255" spans="1:12" ht="28" x14ac:dyDescent="0.2">
      <c r="A255" s="13" t="s">
        <v>1125</v>
      </c>
      <c r="B255" s="13" t="s">
        <v>64</v>
      </c>
      <c r="C255" s="13" t="s">
        <v>124</v>
      </c>
      <c r="D255" s="13" t="s">
        <v>39</v>
      </c>
      <c r="E255" s="13" t="s">
        <v>207</v>
      </c>
      <c r="F255" s="13" t="s">
        <v>183</v>
      </c>
      <c r="G255" s="13" t="s">
        <v>33</v>
      </c>
      <c r="H255" s="13" t="s">
        <v>1126</v>
      </c>
      <c r="I255" s="13" t="s">
        <v>1127</v>
      </c>
      <c r="J255" s="13"/>
      <c r="K255" s="14"/>
      <c r="L255" s="14"/>
    </row>
    <row r="256" spans="1:12" ht="28" x14ac:dyDescent="0.2">
      <c r="A256" s="13" t="s">
        <v>1128</v>
      </c>
      <c r="B256" s="13" t="s">
        <v>64</v>
      </c>
      <c r="C256" s="13" t="s">
        <v>124</v>
      </c>
      <c r="D256" s="13" t="s">
        <v>39</v>
      </c>
      <c r="E256" s="13" t="s">
        <v>1129</v>
      </c>
      <c r="F256" s="13" t="s">
        <v>183</v>
      </c>
      <c r="G256" s="13" t="s">
        <v>33</v>
      </c>
      <c r="H256" s="13" t="s">
        <v>1130</v>
      </c>
      <c r="I256" s="13" t="s">
        <v>1131</v>
      </c>
      <c r="J256" s="13"/>
      <c r="K256" s="14"/>
      <c r="L256" s="14"/>
    </row>
    <row r="257" spans="1:12" ht="28" x14ac:dyDescent="0.2">
      <c r="A257" s="13" t="s">
        <v>1132</v>
      </c>
      <c r="B257" s="13" t="s">
        <v>64</v>
      </c>
      <c r="C257" s="13" t="s">
        <v>124</v>
      </c>
      <c r="D257" s="13" t="s">
        <v>39</v>
      </c>
      <c r="E257" s="13" t="s">
        <v>952</v>
      </c>
      <c r="F257" s="13" t="s">
        <v>126</v>
      </c>
      <c r="G257" s="13" t="s">
        <v>33</v>
      </c>
      <c r="H257" s="13" t="s">
        <v>1133</v>
      </c>
      <c r="I257" s="13" t="s">
        <v>1134</v>
      </c>
      <c r="J257" s="13"/>
      <c r="K257" s="14"/>
      <c r="L257" s="14"/>
    </row>
    <row r="258" spans="1:12" ht="28" x14ac:dyDescent="0.2">
      <c r="A258" s="13" t="s">
        <v>1135</v>
      </c>
      <c r="B258" s="13" t="s">
        <v>64</v>
      </c>
      <c r="C258" s="13" t="s">
        <v>124</v>
      </c>
      <c r="D258" s="13" t="s">
        <v>39</v>
      </c>
      <c r="E258" s="13" t="s">
        <v>1089</v>
      </c>
      <c r="F258" s="13" t="s">
        <v>153</v>
      </c>
      <c r="G258" s="13" t="s">
        <v>33</v>
      </c>
      <c r="H258" s="13" t="s">
        <v>1136</v>
      </c>
      <c r="I258" s="13" t="s">
        <v>1137</v>
      </c>
      <c r="J258" s="13"/>
      <c r="K258" s="14"/>
      <c r="L258" s="14"/>
    </row>
    <row r="259" spans="1:12" ht="28" x14ac:dyDescent="0.2">
      <c r="A259" s="13" t="s">
        <v>1138</v>
      </c>
      <c r="B259" s="13" t="s">
        <v>64</v>
      </c>
      <c r="C259" s="13" t="s">
        <v>124</v>
      </c>
      <c r="D259" s="13" t="s">
        <v>39</v>
      </c>
      <c r="E259" s="13" t="s">
        <v>1139</v>
      </c>
      <c r="F259" s="13" t="s">
        <v>126</v>
      </c>
      <c r="G259" s="13" t="s">
        <v>33</v>
      </c>
      <c r="H259" s="13" t="s">
        <v>1140</v>
      </c>
      <c r="I259" s="13" t="s">
        <v>1141</v>
      </c>
      <c r="J259" s="13"/>
      <c r="K259" s="14"/>
      <c r="L259" s="14"/>
    </row>
    <row r="260" spans="1:12" ht="28" x14ac:dyDescent="0.2">
      <c r="A260" s="13" t="s">
        <v>1142</v>
      </c>
      <c r="B260" s="13" t="s">
        <v>64</v>
      </c>
      <c r="C260" s="13" t="s">
        <v>169</v>
      </c>
      <c r="D260" s="13" t="s">
        <v>39</v>
      </c>
      <c r="E260" s="13" t="s">
        <v>1097</v>
      </c>
      <c r="F260" s="13" t="s">
        <v>183</v>
      </c>
      <c r="G260" s="13" t="s">
        <v>32</v>
      </c>
      <c r="H260" s="13" t="s">
        <v>1143</v>
      </c>
      <c r="I260" s="13" t="s">
        <v>1144</v>
      </c>
      <c r="J260" s="13"/>
      <c r="K260" s="14"/>
      <c r="L260" s="14"/>
    </row>
    <row r="261" spans="1:12" ht="28" x14ac:dyDescent="0.2">
      <c r="A261" s="13" t="s">
        <v>1145</v>
      </c>
      <c r="B261" s="13" t="s">
        <v>64</v>
      </c>
      <c r="C261" s="13" t="s">
        <v>169</v>
      </c>
      <c r="D261" s="13" t="s">
        <v>39</v>
      </c>
      <c r="E261" s="13" t="s">
        <v>1146</v>
      </c>
      <c r="F261" s="13" t="s">
        <v>126</v>
      </c>
      <c r="G261" s="13" t="s">
        <v>33</v>
      </c>
      <c r="H261" s="13" t="s">
        <v>1147</v>
      </c>
      <c r="I261" s="13" t="s">
        <v>1148</v>
      </c>
      <c r="J261" s="13"/>
      <c r="K261" s="14"/>
      <c r="L261" s="14"/>
    </row>
    <row r="262" spans="1:12" ht="28" x14ac:dyDescent="0.2">
      <c r="A262" s="13" t="s">
        <v>1149</v>
      </c>
      <c r="B262" s="13" t="s">
        <v>64</v>
      </c>
      <c r="C262" s="13" t="s">
        <v>169</v>
      </c>
      <c r="D262" s="13" t="s">
        <v>39</v>
      </c>
      <c r="E262" s="13" t="s">
        <v>1150</v>
      </c>
      <c r="F262" s="13" t="s">
        <v>126</v>
      </c>
      <c r="G262" s="13" t="s">
        <v>33</v>
      </c>
      <c r="H262" s="13" t="s">
        <v>1151</v>
      </c>
      <c r="I262" s="13" t="s">
        <v>1152</v>
      </c>
      <c r="J262" s="13"/>
      <c r="K262" s="14"/>
      <c r="L262" s="14"/>
    </row>
    <row r="263" spans="1:12" ht="28" x14ac:dyDescent="0.2">
      <c r="A263" s="13" t="s">
        <v>1153</v>
      </c>
      <c r="B263" s="13" t="s">
        <v>64</v>
      </c>
      <c r="C263" s="13" t="s">
        <v>169</v>
      </c>
      <c r="D263" s="13" t="s">
        <v>39</v>
      </c>
      <c r="E263" s="13" t="s">
        <v>1154</v>
      </c>
      <c r="F263" s="13" t="s">
        <v>126</v>
      </c>
      <c r="G263" s="13" t="s">
        <v>33</v>
      </c>
      <c r="H263" s="13" t="s">
        <v>1155</v>
      </c>
      <c r="I263" s="13" t="s">
        <v>1156</v>
      </c>
      <c r="J263" s="13"/>
      <c r="K263" s="14"/>
      <c r="L263" s="14"/>
    </row>
    <row r="264" spans="1:12" ht="28" x14ac:dyDescent="0.2">
      <c r="A264" s="13" t="s">
        <v>1157</v>
      </c>
      <c r="B264" s="13" t="s">
        <v>64</v>
      </c>
      <c r="C264" s="13" t="s">
        <v>169</v>
      </c>
      <c r="D264" s="13" t="s">
        <v>39</v>
      </c>
      <c r="E264" s="13" t="s">
        <v>1158</v>
      </c>
      <c r="F264" s="13" t="s">
        <v>183</v>
      </c>
      <c r="G264" s="13" t="s">
        <v>32</v>
      </c>
      <c r="H264" s="13" t="s">
        <v>1159</v>
      </c>
      <c r="I264" s="13" t="s">
        <v>1160</v>
      </c>
      <c r="J264" s="13"/>
      <c r="K264" s="14"/>
      <c r="L264" s="14"/>
    </row>
    <row r="265" spans="1:12" ht="28" x14ac:dyDescent="0.2">
      <c r="A265" s="13" t="s">
        <v>1161</v>
      </c>
      <c r="B265" s="13" t="s">
        <v>64</v>
      </c>
      <c r="C265" s="13" t="s">
        <v>169</v>
      </c>
      <c r="D265" s="13" t="s">
        <v>39</v>
      </c>
      <c r="E265" s="13" t="s">
        <v>1162</v>
      </c>
      <c r="F265" s="13" t="s">
        <v>183</v>
      </c>
      <c r="G265" s="13" t="s">
        <v>33</v>
      </c>
      <c r="H265" s="13" t="s">
        <v>1163</v>
      </c>
      <c r="I265" s="13" t="s">
        <v>1164</v>
      </c>
      <c r="J265" s="13"/>
      <c r="K265" s="14"/>
      <c r="L265" s="14"/>
    </row>
    <row r="266" spans="1:12" ht="42" x14ac:dyDescent="0.2">
      <c r="A266" s="13" t="s">
        <v>1165</v>
      </c>
      <c r="B266" s="13" t="s">
        <v>64</v>
      </c>
      <c r="C266" s="13" t="s">
        <v>169</v>
      </c>
      <c r="D266" s="13" t="s">
        <v>39</v>
      </c>
      <c r="E266" s="13" t="s">
        <v>1122</v>
      </c>
      <c r="F266" s="13" t="s">
        <v>126</v>
      </c>
      <c r="G266" s="13" t="s">
        <v>33</v>
      </c>
      <c r="H266" s="13" t="s">
        <v>1166</v>
      </c>
      <c r="I266" s="13" t="s">
        <v>1167</v>
      </c>
      <c r="J266" s="13"/>
      <c r="K266" s="14"/>
      <c r="L266" s="14"/>
    </row>
    <row r="267" spans="1:12" ht="42" x14ac:dyDescent="0.2">
      <c r="A267" s="13" t="s">
        <v>1168</v>
      </c>
      <c r="B267" s="13" t="s">
        <v>64</v>
      </c>
      <c r="C267" s="13" t="s">
        <v>169</v>
      </c>
      <c r="D267" s="13" t="s">
        <v>39</v>
      </c>
      <c r="E267" s="13" t="s">
        <v>1169</v>
      </c>
      <c r="F267" s="13" t="s">
        <v>126</v>
      </c>
      <c r="G267" s="13" t="s">
        <v>32</v>
      </c>
      <c r="H267" s="13" t="s">
        <v>1170</v>
      </c>
      <c r="I267" s="13" t="s">
        <v>1171</v>
      </c>
      <c r="J267" s="13"/>
      <c r="K267" s="14"/>
      <c r="L267" s="14"/>
    </row>
    <row r="268" spans="1:12" ht="28" x14ac:dyDescent="0.2">
      <c r="A268" s="13" t="s">
        <v>1172</v>
      </c>
      <c r="B268" s="13" t="s">
        <v>64</v>
      </c>
      <c r="C268" s="13" t="s">
        <v>169</v>
      </c>
      <c r="D268" s="13" t="s">
        <v>39</v>
      </c>
      <c r="E268" s="13" t="s">
        <v>1173</v>
      </c>
      <c r="F268" s="13" t="s">
        <v>126</v>
      </c>
      <c r="G268" s="13" t="s">
        <v>32</v>
      </c>
      <c r="H268" s="13" t="s">
        <v>1174</v>
      </c>
      <c r="I268" s="13" t="s">
        <v>1175</v>
      </c>
      <c r="J268" s="13"/>
      <c r="K268" s="14"/>
      <c r="L268" s="14"/>
    </row>
    <row r="269" spans="1:12" x14ac:dyDescent="0.2">
      <c r="A269" s="13" t="s">
        <v>1176</v>
      </c>
      <c r="B269" s="13" t="s">
        <v>64</v>
      </c>
      <c r="C269" s="13" t="s">
        <v>169</v>
      </c>
      <c r="D269" s="13" t="s">
        <v>39</v>
      </c>
      <c r="E269" s="13" t="s">
        <v>1177</v>
      </c>
      <c r="F269" s="13" t="s">
        <v>126</v>
      </c>
      <c r="G269" s="13" t="s">
        <v>32</v>
      </c>
      <c r="H269" s="13" t="s">
        <v>1178</v>
      </c>
      <c r="I269" s="13" t="s">
        <v>1179</v>
      </c>
      <c r="J269" s="13"/>
      <c r="K269" s="14"/>
      <c r="L269" s="14"/>
    </row>
    <row r="270" spans="1:12" ht="28" x14ac:dyDescent="0.2">
      <c r="A270" s="13" t="s">
        <v>1180</v>
      </c>
      <c r="B270" s="13" t="s">
        <v>64</v>
      </c>
      <c r="C270" s="13" t="s">
        <v>169</v>
      </c>
      <c r="D270" s="13" t="s">
        <v>39</v>
      </c>
      <c r="E270" s="13" t="s">
        <v>1181</v>
      </c>
      <c r="F270" s="13" t="s">
        <v>126</v>
      </c>
      <c r="G270" s="13" t="s">
        <v>32</v>
      </c>
      <c r="H270" s="13" t="s">
        <v>1182</v>
      </c>
      <c r="I270" s="13" t="s">
        <v>1183</v>
      </c>
      <c r="J270" s="13"/>
      <c r="K270" s="14"/>
      <c r="L270" s="14"/>
    </row>
    <row r="271" spans="1:12" ht="28" x14ac:dyDescent="0.2">
      <c r="A271" s="13" t="s">
        <v>1184</v>
      </c>
      <c r="B271" s="13" t="s">
        <v>64</v>
      </c>
      <c r="C271" s="13" t="s">
        <v>169</v>
      </c>
      <c r="D271" s="13" t="s">
        <v>39</v>
      </c>
      <c r="E271" s="13" t="s">
        <v>1185</v>
      </c>
      <c r="F271" s="13" t="s">
        <v>126</v>
      </c>
      <c r="G271" s="13" t="s">
        <v>33</v>
      </c>
      <c r="H271" s="13" t="s">
        <v>1186</v>
      </c>
      <c r="I271" s="13" t="s">
        <v>1187</v>
      </c>
      <c r="J271" s="13"/>
      <c r="K271" s="14"/>
      <c r="L271" s="14"/>
    </row>
    <row r="272" spans="1:12" ht="28" x14ac:dyDescent="0.2">
      <c r="A272" s="13" t="s">
        <v>1188</v>
      </c>
      <c r="B272" s="13" t="s">
        <v>64</v>
      </c>
      <c r="C272" s="13" t="s">
        <v>169</v>
      </c>
      <c r="D272" s="13" t="s">
        <v>39</v>
      </c>
      <c r="E272" s="13" t="s">
        <v>1189</v>
      </c>
      <c r="F272" s="13" t="s">
        <v>126</v>
      </c>
      <c r="G272" s="13" t="s">
        <v>33</v>
      </c>
      <c r="H272" s="13" t="s">
        <v>1190</v>
      </c>
      <c r="I272" s="13" t="s">
        <v>1191</v>
      </c>
      <c r="J272" s="13"/>
      <c r="K272" s="14"/>
      <c r="L272" s="14"/>
    </row>
    <row r="273" spans="1:12" ht="28" x14ac:dyDescent="0.2">
      <c r="A273" s="13" t="s">
        <v>1192</v>
      </c>
      <c r="B273" s="13" t="s">
        <v>64</v>
      </c>
      <c r="C273" s="13" t="s">
        <v>169</v>
      </c>
      <c r="D273" s="13" t="s">
        <v>39</v>
      </c>
      <c r="E273" s="13" t="s">
        <v>1193</v>
      </c>
      <c r="F273" s="13" t="s">
        <v>126</v>
      </c>
      <c r="G273" s="13" t="s">
        <v>33</v>
      </c>
      <c r="H273" s="13" t="s">
        <v>1194</v>
      </c>
      <c r="I273" s="13" t="s">
        <v>1195</v>
      </c>
      <c r="J273" s="13"/>
      <c r="K273" s="14"/>
      <c r="L273" s="14"/>
    </row>
    <row r="274" spans="1:12" ht="28" x14ac:dyDescent="0.2">
      <c r="A274" s="13" t="s">
        <v>1196</v>
      </c>
      <c r="B274" s="13" t="s">
        <v>64</v>
      </c>
      <c r="C274" s="13" t="s">
        <v>169</v>
      </c>
      <c r="D274" s="13" t="s">
        <v>39</v>
      </c>
      <c r="E274" s="13" t="s">
        <v>1197</v>
      </c>
      <c r="F274" s="13" t="s">
        <v>126</v>
      </c>
      <c r="G274" s="13" t="s">
        <v>32</v>
      </c>
      <c r="H274" s="13" t="s">
        <v>1198</v>
      </c>
      <c r="I274" s="13" t="s">
        <v>1199</v>
      </c>
      <c r="J274" s="13"/>
      <c r="K274" s="14"/>
      <c r="L274" s="14"/>
    </row>
    <row r="275" spans="1:12" ht="42" x14ac:dyDescent="0.2">
      <c r="A275" s="13" t="s">
        <v>1200</v>
      </c>
      <c r="B275" s="13" t="s">
        <v>64</v>
      </c>
      <c r="C275" s="13" t="s">
        <v>169</v>
      </c>
      <c r="D275" s="13" t="s">
        <v>39</v>
      </c>
      <c r="E275" s="13" t="s">
        <v>1105</v>
      </c>
      <c r="F275" s="13" t="s">
        <v>126</v>
      </c>
      <c r="G275" s="13" t="s">
        <v>32</v>
      </c>
      <c r="H275" s="13" t="s">
        <v>1201</v>
      </c>
      <c r="I275" s="13" t="s">
        <v>1202</v>
      </c>
      <c r="J275" s="13"/>
      <c r="K275" s="14"/>
      <c r="L275" s="14"/>
    </row>
    <row r="276" spans="1:12" ht="28" x14ac:dyDescent="0.2">
      <c r="A276" s="13" t="s">
        <v>1203</v>
      </c>
      <c r="B276" s="13" t="s">
        <v>64</v>
      </c>
      <c r="C276" s="13" t="s">
        <v>169</v>
      </c>
      <c r="D276" s="13" t="s">
        <v>39</v>
      </c>
      <c r="E276" s="13" t="s">
        <v>1204</v>
      </c>
      <c r="F276" s="13" t="s">
        <v>126</v>
      </c>
      <c r="G276" s="13" t="s">
        <v>33</v>
      </c>
      <c r="H276" s="13" t="s">
        <v>1205</v>
      </c>
      <c r="I276" s="13" t="s">
        <v>1206</v>
      </c>
      <c r="J276" s="13"/>
      <c r="K276" s="14"/>
      <c r="L276" s="14"/>
    </row>
    <row r="277" spans="1:12" ht="28" x14ac:dyDescent="0.2">
      <c r="A277" s="13" t="s">
        <v>1207</v>
      </c>
      <c r="B277" s="13" t="s">
        <v>64</v>
      </c>
      <c r="C277" s="13" t="s">
        <v>169</v>
      </c>
      <c r="D277" s="13" t="s">
        <v>39</v>
      </c>
      <c r="E277" s="13" t="s">
        <v>1208</v>
      </c>
      <c r="F277" s="13" t="s">
        <v>183</v>
      </c>
      <c r="G277" s="13" t="s">
        <v>33</v>
      </c>
      <c r="H277" s="13" t="s">
        <v>1209</v>
      </c>
      <c r="I277" s="13" t="s">
        <v>1210</v>
      </c>
      <c r="J277" s="13"/>
      <c r="K277" s="14"/>
      <c r="L277" s="14"/>
    </row>
    <row r="278" spans="1:12" ht="28" x14ac:dyDescent="0.2">
      <c r="A278" s="13" t="s">
        <v>1211</v>
      </c>
      <c r="B278" s="13" t="s">
        <v>64</v>
      </c>
      <c r="C278" s="13" t="s">
        <v>169</v>
      </c>
      <c r="D278" s="13" t="s">
        <v>39</v>
      </c>
      <c r="E278" s="13" t="s">
        <v>1109</v>
      </c>
      <c r="F278" s="13" t="s">
        <v>126</v>
      </c>
      <c r="G278" s="13" t="s">
        <v>32</v>
      </c>
      <c r="H278" s="13" t="s">
        <v>1212</v>
      </c>
      <c r="I278" s="13" t="s">
        <v>1213</v>
      </c>
      <c r="J278" s="13"/>
      <c r="K278" s="14"/>
      <c r="L278" s="14"/>
    </row>
    <row r="279" spans="1:12" ht="28" x14ac:dyDescent="0.2">
      <c r="A279" s="13" t="s">
        <v>1214</v>
      </c>
      <c r="B279" s="13" t="s">
        <v>64</v>
      </c>
      <c r="C279" s="13" t="s">
        <v>169</v>
      </c>
      <c r="D279" s="13" t="s">
        <v>39</v>
      </c>
      <c r="E279" s="13" t="s">
        <v>1215</v>
      </c>
      <c r="F279" s="13" t="s">
        <v>126</v>
      </c>
      <c r="G279" s="13" t="s">
        <v>32</v>
      </c>
      <c r="H279" s="13" t="s">
        <v>1216</v>
      </c>
      <c r="I279" s="13" t="s">
        <v>1217</v>
      </c>
      <c r="J279" s="13"/>
      <c r="K279" s="14"/>
      <c r="L279" s="14"/>
    </row>
    <row r="280" spans="1:12" ht="28" x14ac:dyDescent="0.2">
      <c r="A280" s="13" t="s">
        <v>1218</v>
      </c>
      <c r="B280" s="13" t="s">
        <v>64</v>
      </c>
      <c r="C280" s="13" t="s">
        <v>169</v>
      </c>
      <c r="D280" s="13" t="s">
        <v>39</v>
      </c>
      <c r="E280" s="13" t="s">
        <v>1219</v>
      </c>
      <c r="F280" s="13" t="s">
        <v>183</v>
      </c>
      <c r="G280" s="13" t="s">
        <v>32</v>
      </c>
      <c r="H280" s="13" t="s">
        <v>1220</v>
      </c>
      <c r="I280" s="13" t="s">
        <v>1221</v>
      </c>
      <c r="J280" s="13"/>
      <c r="K280" s="14"/>
      <c r="L280" s="14"/>
    </row>
    <row r="281" spans="1:12" ht="42" x14ac:dyDescent="0.2">
      <c r="A281" s="13" t="s">
        <v>1222</v>
      </c>
      <c r="B281" s="13" t="s">
        <v>64</v>
      </c>
      <c r="C281" s="13" t="s">
        <v>169</v>
      </c>
      <c r="D281" s="13" t="s">
        <v>39</v>
      </c>
      <c r="E281" s="13" t="s">
        <v>1223</v>
      </c>
      <c r="F281" s="13" t="s">
        <v>126</v>
      </c>
      <c r="G281" s="13" t="s">
        <v>33</v>
      </c>
      <c r="H281" s="13" t="s">
        <v>1224</v>
      </c>
      <c r="I281" s="13" t="s">
        <v>1225</v>
      </c>
      <c r="J281" s="13"/>
      <c r="K281" s="14"/>
      <c r="L281" s="14"/>
    </row>
    <row r="282" spans="1:12" ht="28" x14ac:dyDescent="0.2">
      <c r="A282" s="13" t="s">
        <v>1226</v>
      </c>
      <c r="B282" s="13" t="s">
        <v>64</v>
      </c>
      <c r="C282" s="13" t="s">
        <v>169</v>
      </c>
      <c r="D282" s="13" t="s">
        <v>39</v>
      </c>
      <c r="E282" s="13" t="s">
        <v>1227</v>
      </c>
      <c r="F282" s="13" t="s">
        <v>126</v>
      </c>
      <c r="G282" s="13" t="s">
        <v>33</v>
      </c>
      <c r="H282" s="13" t="s">
        <v>1228</v>
      </c>
      <c r="I282" s="13" t="s">
        <v>1229</v>
      </c>
      <c r="J282" s="13"/>
      <c r="K282" s="14"/>
      <c r="L282" s="14"/>
    </row>
    <row r="283" spans="1:12" ht="28" x14ac:dyDescent="0.2">
      <c r="A283" s="13" t="s">
        <v>1230</v>
      </c>
      <c r="B283" s="13" t="s">
        <v>64</v>
      </c>
      <c r="C283" s="13" t="s">
        <v>169</v>
      </c>
      <c r="D283" s="13" t="s">
        <v>39</v>
      </c>
      <c r="E283" s="13" t="s">
        <v>1231</v>
      </c>
      <c r="F283" s="13" t="s">
        <v>126</v>
      </c>
      <c r="G283" s="13" t="s">
        <v>32</v>
      </c>
      <c r="H283" s="13" t="s">
        <v>1232</v>
      </c>
      <c r="I283" s="13" t="s">
        <v>1233</v>
      </c>
      <c r="J283" s="13"/>
      <c r="K283" s="14"/>
      <c r="L283" s="14"/>
    </row>
    <row r="284" spans="1:12" ht="28" x14ac:dyDescent="0.2">
      <c r="A284" s="13" t="s">
        <v>1234</v>
      </c>
      <c r="B284" s="13" t="s">
        <v>64</v>
      </c>
      <c r="C284" s="13" t="s">
        <v>169</v>
      </c>
      <c r="D284" s="13" t="s">
        <v>39</v>
      </c>
      <c r="E284" s="13" t="s">
        <v>1235</v>
      </c>
      <c r="F284" s="13" t="s">
        <v>126</v>
      </c>
      <c r="G284" s="13" t="s">
        <v>34</v>
      </c>
      <c r="H284" s="13" t="s">
        <v>1236</v>
      </c>
      <c r="I284" s="13" t="s">
        <v>1237</v>
      </c>
      <c r="J284" s="13"/>
      <c r="K284" s="14"/>
      <c r="L284" s="14"/>
    </row>
    <row r="285" spans="1:12" ht="28" x14ac:dyDescent="0.2">
      <c r="A285" s="13" t="s">
        <v>1238</v>
      </c>
      <c r="B285" s="13" t="s">
        <v>64</v>
      </c>
      <c r="C285" s="13" t="s">
        <v>169</v>
      </c>
      <c r="D285" s="13" t="s">
        <v>39</v>
      </c>
      <c r="E285" s="13" t="s">
        <v>853</v>
      </c>
      <c r="F285" s="13" t="s">
        <v>126</v>
      </c>
      <c r="G285" s="13" t="s">
        <v>32</v>
      </c>
      <c r="H285" s="13" t="s">
        <v>1239</v>
      </c>
      <c r="I285" s="13" t="s">
        <v>1240</v>
      </c>
      <c r="J285" s="13"/>
      <c r="K285" s="14"/>
      <c r="L285" s="14"/>
    </row>
    <row r="286" spans="1:12" ht="28" x14ac:dyDescent="0.2">
      <c r="A286" s="13" t="s">
        <v>1241</v>
      </c>
      <c r="B286" s="13" t="s">
        <v>64</v>
      </c>
      <c r="C286" s="13" t="s">
        <v>169</v>
      </c>
      <c r="D286" s="13" t="s">
        <v>39</v>
      </c>
      <c r="E286" s="13" t="s">
        <v>1242</v>
      </c>
      <c r="F286" s="13" t="s">
        <v>126</v>
      </c>
      <c r="G286" s="13" t="s">
        <v>32</v>
      </c>
      <c r="H286" s="13" t="s">
        <v>1243</v>
      </c>
      <c r="I286" s="13" t="s">
        <v>1244</v>
      </c>
      <c r="J286" s="13"/>
      <c r="K286" s="14"/>
      <c r="L286" s="14"/>
    </row>
    <row r="287" spans="1:12" ht="28" x14ac:dyDescent="0.2">
      <c r="A287" s="13" t="s">
        <v>1245</v>
      </c>
      <c r="B287" s="13" t="s">
        <v>64</v>
      </c>
      <c r="C287" s="13" t="s">
        <v>169</v>
      </c>
      <c r="D287" s="13" t="s">
        <v>39</v>
      </c>
      <c r="E287" s="13" t="s">
        <v>1246</v>
      </c>
      <c r="F287" s="13" t="s">
        <v>126</v>
      </c>
      <c r="G287" s="13" t="s">
        <v>33</v>
      </c>
      <c r="H287" s="13" t="s">
        <v>1247</v>
      </c>
      <c r="I287" s="13" t="s">
        <v>1248</v>
      </c>
      <c r="J287" s="13"/>
      <c r="K287" s="14"/>
      <c r="L287" s="14"/>
    </row>
    <row r="288" spans="1:12" ht="42" x14ac:dyDescent="0.2">
      <c r="A288" s="13" t="s">
        <v>1249</v>
      </c>
      <c r="B288" s="13" t="s">
        <v>64</v>
      </c>
      <c r="C288" s="13" t="s">
        <v>169</v>
      </c>
      <c r="D288" s="13" t="s">
        <v>39</v>
      </c>
      <c r="E288" s="13" t="s">
        <v>1250</v>
      </c>
      <c r="F288" s="13" t="s">
        <v>183</v>
      </c>
      <c r="G288" s="13" t="s">
        <v>33</v>
      </c>
      <c r="H288" s="13" t="s">
        <v>1251</v>
      </c>
      <c r="I288" s="13" t="s">
        <v>1252</v>
      </c>
      <c r="J288" s="13"/>
      <c r="K288" s="14"/>
      <c r="L288" s="14"/>
    </row>
    <row r="289" spans="1:12" ht="28" x14ac:dyDescent="0.2">
      <c r="A289" s="13" t="s">
        <v>1253</v>
      </c>
      <c r="B289" s="13" t="s">
        <v>64</v>
      </c>
      <c r="C289" s="13" t="s">
        <v>169</v>
      </c>
      <c r="D289" s="13" t="s">
        <v>39</v>
      </c>
      <c r="E289" s="13" t="s">
        <v>1254</v>
      </c>
      <c r="F289" s="13" t="s">
        <v>126</v>
      </c>
      <c r="G289" s="13" t="s">
        <v>34</v>
      </c>
      <c r="H289" s="13" t="s">
        <v>1255</v>
      </c>
      <c r="I289" s="13" t="s">
        <v>1256</v>
      </c>
      <c r="J289" s="13"/>
      <c r="K289" s="14"/>
      <c r="L289" s="14"/>
    </row>
    <row r="290" spans="1:12" ht="28" x14ac:dyDescent="0.2">
      <c r="A290" s="13" t="s">
        <v>1257</v>
      </c>
      <c r="B290" s="13" t="s">
        <v>64</v>
      </c>
      <c r="C290" s="13" t="s">
        <v>169</v>
      </c>
      <c r="D290" s="13" t="s">
        <v>39</v>
      </c>
      <c r="E290" s="13" t="s">
        <v>1258</v>
      </c>
      <c r="F290" s="13" t="s">
        <v>126</v>
      </c>
      <c r="G290" s="13" t="s">
        <v>33</v>
      </c>
      <c r="H290" s="13" t="s">
        <v>1259</v>
      </c>
      <c r="I290" s="13" t="s">
        <v>1260</v>
      </c>
      <c r="J290" s="13"/>
      <c r="K290" s="14"/>
      <c r="L290" s="14"/>
    </row>
    <row r="291" spans="1:12" ht="28" x14ac:dyDescent="0.2">
      <c r="A291" s="13" t="s">
        <v>1261</v>
      </c>
      <c r="B291" s="13" t="s">
        <v>64</v>
      </c>
      <c r="C291" s="13" t="s">
        <v>169</v>
      </c>
      <c r="D291" s="13" t="s">
        <v>39</v>
      </c>
      <c r="E291" s="13" t="s">
        <v>1262</v>
      </c>
      <c r="F291" s="13" t="s">
        <v>126</v>
      </c>
      <c r="G291" s="13" t="s">
        <v>33</v>
      </c>
      <c r="H291" s="13" t="s">
        <v>1263</v>
      </c>
      <c r="I291" s="13" t="s">
        <v>1264</v>
      </c>
      <c r="J291" s="13"/>
      <c r="K291" s="14"/>
      <c r="L291" s="14"/>
    </row>
    <row r="292" spans="1:12" ht="28" x14ac:dyDescent="0.2">
      <c r="A292" s="13" t="s">
        <v>1265</v>
      </c>
      <c r="B292" s="13" t="s">
        <v>64</v>
      </c>
      <c r="C292" s="13" t="s">
        <v>169</v>
      </c>
      <c r="D292" s="13" t="s">
        <v>39</v>
      </c>
      <c r="E292" s="13" t="s">
        <v>1266</v>
      </c>
      <c r="F292" s="13" t="s">
        <v>126</v>
      </c>
      <c r="G292" s="13" t="s">
        <v>33</v>
      </c>
      <c r="H292" s="13" t="s">
        <v>1267</v>
      </c>
      <c r="I292" s="13" t="s">
        <v>1268</v>
      </c>
      <c r="J292" s="13"/>
      <c r="K292" s="14"/>
      <c r="L292" s="14"/>
    </row>
    <row r="293" spans="1:12" ht="28" x14ac:dyDescent="0.2">
      <c r="A293" s="13" t="s">
        <v>1269</v>
      </c>
      <c r="B293" s="13" t="s">
        <v>64</v>
      </c>
      <c r="C293" s="13" t="s">
        <v>169</v>
      </c>
      <c r="D293" s="13" t="s">
        <v>39</v>
      </c>
      <c r="E293" s="13" t="s">
        <v>207</v>
      </c>
      <c r="F293" s="13" t="s">
        <v>126</v>
      </c>
      <c r="G293" s="13" t="s">
        <v>32</v>
      </c>
      <c r="H293" s="13" t="s">
        <v>1270</v>
      </c>
      <c r="I293" s="13" t="s">
        <v>1271</v>
      </c>
      <c r="J293" s="13"/>
      <c r="K293" s="14"/>
      <c r="L293" s="14"/>
    </row>
    <row r="294" spans="1:12" x14ac:dyDescent="0.2">
      <c r="A294" s="13" t="s">
        <v>1272</v>
      </c>
      <c r="B294" s="13" t="s">
        <v>64</v>
      </c>
      <c r="C294" s="13" t="s">
        <v>169</v>
      </c>
      <c r="D294" s="13" t="s">
        <v>39</v>
      </c>
      <c r="E294" s="13" t="s">
        <v>1273</v>
      </c>
      <c r="F294" s="13" t="s">
        <v>126</v>
      </c>
      <c r="G294" s="13" t="s">
        <v>32</v>
      </c>
      <c r="H294" s="13" t="s">
        <v>1274</v>
      </c>
      <c r="I294" s="13" t="s">
        <v>1275</v>
      </c>
      <c r="J294" s="13"/>
      <c r="K294" s="14"/>
      <c r="L294" s="14"/>
    </row>
    <row r="295" spans="1:12" ht="28" x14ac:dyDescent="0.2">
      <c r="A295" s="13" t="s">
        <v>1276</v>
      </c>
      <c r="B295" s="13" t="s">
        <v>64</v>
      </c>
      <c r="C295" s="13" t="s">
        <v>169</v>
      </c>
      <c r="D295" s="13" t="s">
        <v>39</v>
      </c>
      <c r="E295" s="13" t="s">
        <v>174</v>
      </c>
      <c r="F295" s="13" t="s">
        <v>183</v>
      </c>
      <c r="G295" s="13" t="s">
        <v>33</v>
      </c>
      <c r="H295" s="13" t="s">
        <v>1277</v>
      </c>
      <c r="I295" s="13" t="s">
        <v>1278</v>
      </c>
      <c r="J295" s="13"/>
      <c r="K295" s="14"/>
      <c r="L295" s="14"/>
    </row>
    <row r="296" spans="1:12" ht="28" x14ac:dyDescent="0.2">
      <c r="A296" s="13" t="s">
        <v>1279</v>
      </c>
      <c r="B296" s="13" t="s">
        <v>64</v>
      </c>
      <c r="C296" s="13" t="s">
        <v>169</v>
      </c>
      <c r="D296" s="13" t="s">
        <v>39</v>
      </c>
      <c r="E296" s="13" t="s">
        <v>1280</v>
      </c>
      <c r="F296" s="13" t="s">
        <v>183</v>
      </c>
      <c r="G296" s="13" t="s">
        <v>33</v>
      </c>
      <c r="H296" s="13" t="s">
        <v>1281</v>
      </c>
      <c r="I296" s="13" t="s">
        <v>1282</v>
      </c>
      <c r="J296" s="13"/>
      <c r="K296" s="14"/>
      <c r="L296" s="14"/>
    </row>
    <row r="297" spans="1:12" ht="28" x14ac:dyDescent="0.2">
      <c r="A297" s="13" t="s">
        <v>1283</v>
      </c>
      <c r="B297" s="13" t="s">
        <v>64</v>
      </c>
      <c r="C297" s="13" t="s">
        <v>169</v>
      </c>
      <c r="D297" s="13" t="s">
        <v>39</v>
      </c>
      <c r="E297" s="13" t="s">
        <v>1284</v>
      </c>
      <c r="F297" s="13" t="s">
        <v>126</v>
      </c>
      <c r="G297" s="13" t="s">
        <v>33</v>
      </c>
      <c r="H297" s="13" t="s">
        <v>1285</v>
      </c>
      <c r="I297" s="13" t="s">
        <v>1286</v>
      </c>
      <c r="J297" s="13"/>
      <c r="K297" s="14"/>
      <c r="L297" s="14"/>
    </row>
    <row r="298" spans="1:12" ht="28" x14ac:dyDescent="0.2">
      <c r="A298" s="13" t="s">
        <v>1287</v>
      </c>
      <c r="B298" s="13" t="s">
        <v>64</v>
      </c>
      <c r="C298" s="13" t="s">
        <v>169</v>
      </c>
      <c r="D298" s="13" t="s">
        <v>39</v>
      </c>
      <c r="E298" s="13" t="s">
        <v>1113</v>
      </c>
      <c r="F298" s="13" t="s">
        <v>126</v>
      </c>
      <c r="G298" s="13" t="s">
        <v>33</v>
      </c>
      <c r="H298" s="13" t="s">
        <v>1288</v>
      </c>
      <c r="I298" s="13" t="s">
        <v>1289</v>
      </c>
      <c r="J298" s="13"/>
      <c r="K298" s="14"/>
      <c r="L298" s="14"/>
    </row>
    <row r="299" spans="1:12" ht="28" x14ac:dyDescent="0.2">
      <c r="A299" s="13" t="s">
        <v>1290</v>
      </c>
      <c r="B299" s="13" t="s">
        <v>64</v>
      </c>
      <c r="C299" s="13" t="s">
        <v>169</v>
      </c>
      <c r="D299" s="13" t="s">
        <v>39</v>
      </c>
      <c r="E299" s="13" t="s">
        <v>1291</v>
      </c>
      <c r="F299" s="13" t="s">
        <v>126</v>
      </c>
      <c r="G299" s="13" t="s">
        <v>33</v>
      </c>
      <c r="H299" s="13" t="s">
        <v>1292</v>
      </c>
      <c r="I299" s="13" t="s">
        <v>1293</v>
      </c>
      <c r="J299" s="13"/>
      <c r="K299" s="14"/>
      <c r="L299" s="14"/>
    </row>
    <row r="300" spans="1:12" ht="28" x14ac:dyDescent="0.2">
      <c r="A300" s="13" t="s">
        <v>1294</v>
      </c>
      <c r="B300" s="13" t="s">
        <v>64</v>
      </c>
      <c r="C300" s="13" t="s">
        <v>169</v>
      </c>
      <c r="D300" s="13" t="s">
        <v>39</v>
      </c>
      <c r="E300" s="13" t="s">
        <v>1295</v>
      </c>
      <c r="F300" s="13" t="s">
        <v>126</v>
      </c>
      <c r="G300" s="13" t="s">
        <v>33</v>
      </c>
      <c r="H300" s="13" t="s">
        <v>1296</v>
      </c>
      <c r="I300" s="13" t="s">
        <v>1297</v>
      </c>
      <c r="J300" s="13"/>
      <c r="K300" s="14"/>
      <c r="L300" s="14"/>
    </row>
    <row r="301" spans="1:12" ht="28" x14ac:dyDescent="0.2">
      <c r="A301" s="13" t="s">
        <v>1298</v>
      </c>
      <c r="B301" s="13" t="s">
        <v>64</v>
      </c>
      <c r="C301" s="13" t="s">
        <v>169</v>
      </c>
      <c r="D301" s="13" t="s">
        <v>39</v>
      </c>
      <c r="E301" s="13" t="s">
        <v>1299</v>
      </c>
      <c r="F301" s="13" t="s">
        <v>126</v>
      </c>
      <c r="G301" s="13" t="s">
        <v>33</v>
      </c>
      <c r="H301" s="13" t="s">
        <v>1300</v>
      </c>
      <c r="I301" s="13" t="s">
        <v>1301</v>
      </c>
      <c r="J301" s="13"/>
      <c r="K301" s="14"/>
      <c r="L301" s="14"/>
    </row>
    <row r="302" spans="1:12" ht="42" x14ac:dyDescent="0.2">
      <c r="A302" s="13" t="s">
        <v>1302</v>
      </c>
      <c r="B302" s="13" t="s">
        <v>64</v>
      </c>
      <c r="C302" s="13" t="s">
        <v>169</v>
      </c>
      <c r="D302" s="13" t="s">
        <v>39</v>
      </c>
      <c r="E302" s="13" t="s">
        <v>983</v>
      </c>
      <c r="F302" s="13" t="s">
        <v>126</v>
      </c>
      <c r="G302" s="13" t="s">
        <v>33</v>
      </c>
      <c r="H302" s="13" t="s">
        <v>1303</v>
      </c>
      <c r="I302" s="13" t="s">
        <v>1304</v>
      </c>
      <c r="J302" s="13"/>
      <c r="K302" s="14"/>
      <c r="L302" s="14"/>
    </row>
    <row r="303" spans="1:12" ht="28" x14ac:dyDescent="0.2">
      <c r="A303" s="13" t="s">
        <v>1305</v>
      </c>
      <c r="B303" s="13" t="s">
        <v>64</v>
      </c>
      <c r="C303" s="13" t="s">
        <v>169</v>
      </c>
      <c r="D303" s="13" t="s">
        <v>39</v>
      </c>
      <c r="E303" s="13" t="s">
        <v>1139</v>
      </c>
      <c r="F303" s="13" t="s">
        <v>126</v>
      </c>
      <c r="G303" s="13" t="s">
        <v>33</v>
      </c>
      <c r="H303" s="13" t="s">
        <v>1306</v>
      </c>
      <c r="I303" s="13" t="s">
        <v>1307</v>
      </c>
      <c r="J303" s="13"/>
      <c r="K303" s="14"/>
      <c r="L303" s="14"/>
    </row>
    <row r="304" spans="1:12" ht="42" x14ac:dyDescent="0.2">
      <c r="A304" s="13" t="s">
        <v>1308</v>
      </c>
      <c r="B304" s="13" t="s">
        <v>66</v>
      </c>
      <c r="C304" s="13" t="s">
        <v>124</v>
      </c>
      <c r="D304" s="13" t="s">
        <v>44</v>
      </c>
      <c r="E304" s="13" t="s">
        <v>1309</v>
      </c>
      <c r="F304" s="13" t="s">
        <v>126</v>
      </c>
      <c r="G304" s="13" t="s">
        <v>32</v>
      </c>
      <c r="H304" s="13" t="s">
        <v>1310</v>
      </c>
      <c r="I304" s="13" t="s">
        <v>1311</v>
      </c>
      <c r="J304" s="13"/>
      <c r="K304" s="14"/>
      <c r="L304" s="14"/>
    </row>
    <row r="305" spans="1:12" ht="28" x14ac:dyDescent="0.2">
      <c r="A305" s="13" t="s">
        <v>1312</v>
      </c>
      <c r="B305" s="13" t="s">
        <v>66</v>
      </c>
      <c r="C305" s="13" t="s">
        <v>124</v>
      </c>
      <c r="D305" s="13" t="s">
        <v>44</v>
      </c>
      <c r="E305" s="13" t="s">
        <v>1313</v>
      </c>
      <c r="F305" s="13" t="s">
        <v>126</v>
      </c>
      <c r="G305" s="13" t="s">
        <v>32</v>
      </c>
      <c r="H305" s="13" t="s">
        <v>1314</v>
      </c>
      <c r="I305" s="13" t="s">
        <v>1315</v>
      </c>
      <c r="J305" s="13"/>
      <c r="K305" s="14"/>
      <c r="L305" s="14"/>
    </row>
    <row r="306" spans="1:12" ht="28" x14ac:dyDescent="0.2">
      <c r="A306" s="13" t="s">
        <v>1316</v>
      </c>
      <c r="B306" s="13" t="s">
        <v>66</v>
      </c>
      <c r="C306" s="13" t="s">
        <v>169</v>
      </c>
      <c r="D306" s="13" t="s">
        <v>44</v>
      </c>
      <c r="E306" s="13" t="s">
        <v>1317</v>
      </c>
      <c r="F306" s="13" t="s">
        <v>126</v>
      </c>
      <c r="G306" s="13" t="s">
        <v>32</v>
      </c>
      <c r="H306" s="13" t="s">
        <v>1318</v>
      </c>
      <c r="I306" s="13" t="s">
        <v>1319</v>
      </c>
      <c r="J306" s="13"/>
      <c r="K306" s="14"/>
      <c r="L306" s="14"/>
    </row>
    <row r="307" spans="1:12" x14ac:dyDescent="0.2">
      <c r="A307" s="13" t="s">
        <v>1320</v>
      </c>
      <c r="B307" s="13" t="s">
        <v>66</v>
      </c>
      <c r="C307" s="13" t="s">
        <v>169</v>
      </c>
      <c r="D307" s="13" t="s">
        <v>44</v>
      </c>
      <c r="E307" s="13" t="s">
        <v>1321</v>
      </c>
      <c r="F307" s="13" t="s">
        <v>126</v>
      </c>
      <c r="G307" s="13" t="s">
        <v>32</v>
      </c>
      <c r="H307" s="13" t="s">
        <v>1322</v>
      </c>
      <c r="I307" s="13" t="s">
        <v>1323</v>
      </c>
      <c r="J307" s="13"/>
      <c r="K307" s="14"/>
      <c r="L307" s="14"/>
    </row>
    <row r="308" spans="1:12" ht="28" x14ac:dyDescent="0.2">
      <c r="A308" s="13" t="s">
        <v>1324</v>
      </c>
      <c r="B308" s="13" t="s">
        <v>66</v>
      </c>
      <c r="C308" s="13" t="s">
        <v>169</v>
      </c>
      <c r="D308" s="13" t="s">
        <v>44</v>
      </c>
      <c r="E308" s="13" t="s">
        <v>1325</v>
      </c>
      <c r="F308" s="13" t="s">
        <v>126</v>
      </c>
      <c r="G308" s="13" t="s">
        <v>32</v>
      </c>
      <c r="H308" s="13" t="s">
        <v>1326</v>
      </c>
      <c r="I308" s="13" t="s">
        <v>1327</v>
      </c>
      <c r="J308" s="13"/>
      <c r="K308" s="14"/>
      <c r="L308" s="14"/>
    </row>
    <row r="309" spans="1:12" ht="28" x14ac:dyDescent="0.2">
      <c r="A309" s="13" t="s">
        <v>1328</v>
      </c>
      <c r="B309" s="13" t="s">
        <v>66</v>
      </c>
      <c r="C309" s="13" t="s">
        <v>169</v>
      </c>
      <c r="D309" s="13" t="s">
        <v>44</v>
      </c>
      <c r="E309" s="13" t="s">
        <v>1329</v>
      </c>
      <c r="F309" s="13" t="s">
        <v>126</v>
      </c>
      <c r="G309" s="13" t="s">
        <v>32</v>
      </c>
      <c r="H309" s="13" t="s">
        <v>1330</v>
      </c>
      <c r="I309" s="13" t="s">
        <v>1331</v>
      </c>
      <c r="J309" s="13"/>
      <c r="K309" s="14"/>
      <c r="L309" s="14"/>
    </row>
    <row r="310" spans="1:12" ht="28" x14ac:dyDescent="0.2">
      <c r="A310" s="13" t="s">
        <v>1332</v>
      </c>
      <c r="B310" s="13" t="s">
        <v>66</v>
      </c>
      <c r="C310" s="13" t="s">
        <v>169</v>
      </c>
      <c r="D310" s="13" t="s">
        <v>44</v>
      </c>
      <c r="E310" s="13" t="s">
        <v>1333</v>
      </c>
      <c r="F310" s="13" t="s">
        <v>126</v>
      </c>
      <c r="G310" s="13" t="s">
        <v>33</v>
      </c>
      <c r="H310" s="13" t="s">
        <v>1334</v>
      </c>
      <c r="I310" s="13" t="s">
        <v>1335</v>
      </c>
      <c r="J310" s="13"/>
      <c r="K310" s="14"/>
      <c r="L310" s="14"/>
    </row>
    <row r="311" spans="1:12" ht="28" x14ac:dyDescent="0.2">
      <c r="A311" s="13" t="s">
        <v>1336</v>
      </c>
      <c r="B311" s="13" t="s">
        <v>68</v>
      </c>
      <c r="C311" s="13" t="s">
        <v>124</v>
      </c>
      <c r="D311" s="13" t="s">
        <v>44</v>
      </c>
      <c r="E311" s="13" t="s">
        <v>1337</v>
      </c>
      <c r="F311" s="13" t="s">
        <v>153</v>
      </c>
      <c r="G311" s="13" t="s">
        <v>32</v>
      </c>
      <c r="H311" s="13" t="s">
        <v>1338</v>
      </c>
      <c r="I311" s="13" t="s">
        <v>1339</v>
      </c>
      <c r="J311" s="13"/>
      <c r="K311" s="14"/>
      <c r="L311" s="14"/>
    </row>
    <row r="312" spans="1:12" ht="28" x14ac:dyDescent="0.2">
      <c r="A312" s="13" t="s">
        <v>1340</v>
      </c>
      <c r="B312" s="13" t="s">
        <v>68</v>
      </c>
      <c r="C312" s="13" t="s">
        <v>124</v>
      </c>
      <c r="D312" s="13" t="s">
        <v>44</v>
      </c>
      <c r="E312" s="13" t="s">
        <v>1341</v>
      </c>
      <c r="F312" s="13" t="s">
        <v>126</v>
      </c>
      <c r="G312" s="13" t="s">
        <v>32</v>
      </c>
      <c r="H312" s="13" t="s">
        <v>1342</v>
      </c>
      <c r="I312" s="13" t="s">
        <v>1343</v>
      </c>
      <c r="J312" s="13"/>
      <c r="K312" s="14"/>
      <c r="L312" s="14"/>
    </row>
    <row r="313" spans="1:12" ht="28" x14ac:dyDescent="0.2">
      <c r="A313" s="13" t="s">
        <v>1344</v>
      </c>
      <c r="B313" s="13" t="s">
        <v>68</v>
      </c>
      <c r="C313" s="13" t="s">
        <v>169</v>
      </c>
      <c r="D313" s="13" t="s">
        <v>44</v>
      </c>
      <c r="E313" s="13" t="s">
        <v>1337</v>
      </c>
      <c r="F313" s="13" t="s">
        <v>126</v>
      </c>
      <c r="G313" s="13" t="s">
        <v>32</v>
      </c>
      <c r="H313" s="13" t="s">
        <v>1345</v>
      </c>
      <c r="I313" s="13" t="s">
        <v>1346</v>
      </c>
      <c r="J313" s="13"/>
      <c r="K313" s="14"/>
      <c r="L313" s="14"/>
    </row>
    <row r="314" spans="1:12" ht="28" x14ac:dyDescent="0.2">
      <c r="A314" s="13" t="s">
        <v>1347</v>
      </c>
      <c r="B314" s="13" t="s">
        <v>68</v>
      </c>
      <c r="C314" s="13" t="s">
        <v>169</v>
      </c>
      <c r="D314" s="13" t="s">
        <v>44</v>
      </c>
      <c r="E314" s="13" t="s">
        <v>1337</v>
      </c>
      <c r="F314" s="13" t="s">
        <v>126</v>
      </c>
      <c r="G314" s="13" t="s">
        <v>32</v>
      </c>
      <c r="H314" s="13" t="s">
        <v>1348</v>
      </c>
      <c r="I314" s="13" t="s">
        <v>1349</v>
      </c>
      <c r="J314" s="13"/>
      <c r="K314" s="14"/>
      <c r="L314" s="14"/>
    </row>
    <row r="315" spans="1:12" ht="28" x14ac:dyDescent="0.2">
      <c r="A315" s="13" t="s">
        <v>1350</v>
      </c>
      <c r="B315" s="13" t="s">
        <v>68</v>
      </c>
      <c r="C315" s="13" t="s">
        <v>169</v>
      </c>
      <c r="D315" s="13" t="s">
        <v>44</v>
      </c>
      <c r="E315" s="13" t="s">
        <v>1351</v>
      </c>
      <c r="F315" s="13" t="s">
        <v>126</v>
      </c>
      <c r="G315" s="13" t="s">
        <v>32</v>
      </c>
      <c r="H315" s="13" t="s">
        <v>1352</v>
      </c>
      <c r="I315" s="13" t="s">
        <v>1353</v>
      </c>
      <c r="J315" s="13"/>
      <c r="K315" s="14"/>
      <c r="L315" s="14"/>
    </row>
    <row r="316" spans="1:12" ht="28" x14ac:dyDescent="0.2">
      <c r="A316" s="13" t="s">
        <v>1354</v>
      </c>
      <c r="B316" s="13" t="s">
        <v>68</v>
      </c>
      <c r="C316" s="13" t="s">
        <v>169</v>
      </c>
      <c r="D316" s="13" t="s">
        <v>44</v>
      </c>
      <c r="E316" s="13" t="s">
        <v>1355</v>
      </c>
      <c r="F316" s="13" t="s">
        <v>126</v>
      </c>
      <c r="G316" s="13" t="s">
        <v>33</v>
      </c>
      <c r="H316" s="13" t="s">
        <v>1356</v>
      </c>
      <c r="I316" s="13" t="s">
        <v>1357</v>
      </c>
      <c r="J316" s="13"/>
      <c r="K316" s="14"/>
      <c r="L316" s="14"/>
    </row>
    <row r="317" spans="1:12" ht="42" x14ac:dyDescent="0.2">
      <c r="A317" s="13" t="s">
        <v>1358</v>
      </c>
      <c r="B317" s="13" t="s">
        <v>70</v>
      </c>
      <c r="C317" s="13" t="s">
        <v>124</v>
      </c>
      <c r="D317" s="13" t="s">
        <v>44</v>
      </c>
      <c r="E317" s="13" t="s">
        <v>1359</v>
      </c>
      <c r="F317" s="13" t="s">
        <v>126</v>
      </c>
      <c r="G317" s="13" t="s">
        <v>32</v>
      </c>
      <c r="H317" s="13" t="s">
        <v>1360</v>
      </c>
      <c r="I317" s="13" t="s">
        <v>1361</v>
      </c>
      <c r="J317" s="13"/>
      <c r="K317" s="14"/>
      <c r="L317" s="14"/>
    </row>
    <row r="318" spans="1:12" ht="28" x14ac:dyDescent="0.2">
      <c r="A318" s="13" t="s">
        <v>1362</v>
      </c>
      <c r="B318" s="13" t="s">
        <v>72</v>
      </c>
      <c r="C318" s="13" t="s">
        <v>124</v>
      </c>
      <c r="D318" s="13" t="s">
        <v>44</v>
      </c>
      <c r="E318" s="13" t="s">
        <v>1363</v>
      </c>
      <c r="F318" s="13" t="s">
        <v>126</v>
      </c>
      <c r="G318" s="13" t="s">
        <v>32</v>
      </c>
      <c r="H318" s="13" t="s">
        <v>1364</v>
      </c>
      <c r="I318" s="13" t="s">
        <v>1365</v>
      </c>
      <c r="J318" s="13"/>
      <c r="K318" s="14"/>
      <c r="L318" s="14"/>
    </row>
    <row r="319" spans="1:12" ht="28" x14ac:dyDescent="0.2">
      <c r="A319" s="13" t="s">
        <v>1366</v>
      </c>
      <c r="B319" s="13" t="s">
        <v>72</v>
      </c>
      <c r="C319" s="13" t="s">
        <v>124</v>
      </c>
      <c r="D319" s="13" t="s">
        <v>44</v>
      </c>
      <c r="E319" s="13" t="s">
        <v>1363</v>
      </c>
      <c r="F319" s="13" t="s">
        <v>183</v>
      </c>
      <c r="G319" s="13" t="s">
        <v>32</v>
      </c>
      <c r="H319" s="13" t="s">
        <v>1367</v>
      </c>
      <c r="I319" s="13" t="s">
        <v>1368</v>
      </c>
      <c r="J319" s="13"/>
      <c r="K319" s="14"/>
      <c r="L319" s="14"/>
    </row>
    <row r="320" spans="1:12" ht="28" x14ac:dyDescent="0.2">
      <c r="A320" s="13" t="s">
        <v>1369</v>
      </c>
      <c r="B320" s="13" t="s">
        <v>72</v>
      </c>
      <c r="C320" s="13" t="s">
        <v>124</v>
      </c>
      <c r="D320" s="13" t="s">
        <v>44</v>
      </c>
      <c r="E320" s="13" t="s">
        <v>1370</v>
      </c>
      <c r="F320" s="13" t="s">
        <v>126</v>
      </c>
      <c r="G320" s="13" t="s">
        <v>32</v>
      </c>
      <c r="H320" s="13" t="s">
        <v>1371</v>
      </c>
      <c r="I320" s="13" t="s">
        <v>1372</v>
      </c>
      <c r="J320" s="13"/>
      <c r="K320" s="14"/>
      <c r="L320" s="14"/>
    </row>
    <row r="321" spans="1:12" ht="28" x14ac:dyDescent="0.2">
      <c r="A321" s="13" t="s">
        <v>1373</v>
      </c>
      <c r="B321" s="13" t="s">
        <v>72</v>
      </c>
      <c r="C321" s="13" t="s">
        <v>124</v>
      </c>
      <c r="D321" s="13" t="s">
        <v>44</v>
      </c>
      <c r="E321" s="13" t="s">
        <v>1374</v>
      </c>
      <c r="F321" s="13" t="s">
        <v>126</v>
      </c>
      <c r="G321" s="13" t="s">
        <v>32</v>
      </c>
      <c r="H321" s="13" t="s">
        <v>1375</v>
      </c>
      <c r="I321" s="13" t="s">
        <v>1376</v>
      </c>
      <c r="J321" s="13"/>
      <c r="K321" s="14"/>
      <c r="L321" s="14"/>
    </row>
    <row r="322" spans="1:12" ht="28" x14ac:dyDescent="0.2">
      <c r="A322" s="13" t="s">
        <v>1377</v>
      </c>
      <c r="B322" s="13" t="s">
        <v>72</v>
      </c>
      <c r="C322" s="13" t="s">
        <v>124</v>
      </c>
      <c r="D322" s="13" t="s">
        <v>44</v>
      </c>
      <c r="E322" s="13" t="s">
        <v>1378</v>
      </c>
      <c r="F322" s="13" t="s">
        <v>126</v>
      </c>
      <c r="G322" s="13" t="s">
        <v>32</v>
      </c>
      <c r="H322" s="13" t="s">
        <v>1379</v>
      </c>
      <c r="I322" s="13" t="s">
        <v>1380</v>
      </c>
      <c r="J322" s="13"/>
      <c r="K322" s="14"/>
      <c r="L322" s="14"/>
    </row>
    <row r="323" spans="1:12" ht="28" x14ac:dyDescent="0.2">
      <c r="A323" s="13" t="s">
        <v>1381</v>
      </c>
      <c r="B323" s="13" t="s">
        <v>72</v>
      </c>
      <c r="C323" s="13" t="s">
        <v>124</v>
      </c>
      <c r="D323" s="13" t="s">
        <v>44</v>
      </c>
      <c r="E323" s="13" t="s">
        <v>1382</v>
      </c>
      <c r="F323" s="13" t="s">
        <v>126</v>
      </c>
      <c r="G323" s="13" t="s">
        <v>32</v>
      </c>
      <c r="H323" s="13" t="s">
        <v>1383</v>
      </c>
      <c r="I323" s="13" t="s">
        <v>1384</v>
      </c>
      <c r="J323" s="13"/>
      <c r="K323" s="14"/>
      <c r="L323" s="14"/>
    </row>
    <row r="324" spans="1:12" ht="28" x14ac:dyDescent="0.2">
      <c r="A324" s="13" t="s">
        <v>1385</v>
      </c>
      <c r="B324" s="13" t="s">
        <v>72</v>
      </c>
      <c r="C324" s="13" t="s">
        <v>124</v>
      </c>
      <c r="D324" s="13" t="s">
        <v>44</v>
      </c>
      <c r="E324" s="13" t="s">
        <v>1386</v>
      </c>
      <c r="F324" s="13" t="s">
        <v>126</v>
      </c>
      <c r="G324" s="13" t="s">
        <v>32</v>
      </c>
      <c r="H324" s="13" t="s">
        <v>1387</v>
      </c>
      <c r="I324" s="13" t="s">
        <v>1388</v>
      </c>
      <c r="J324" s="13"/>
      <c r="K324" s="14"/>
      <c r="L324" s="14"/>
    </row>
    <row r="325" spans="1:12" ht="28" x14ac:dyDescent="0.2">
      <c r="A325" s="13" t="s">
        <v>1389</v>
      </c>
      <c r="B325" s="13" t="s">
        <v>72</v>
      </c>
      <c r="C325" s="13" t="s">
        <v>124</v>
      </c>
      <c r="D325" s="13" t="s">
        <v>44</v>
      </c>
      <c r="E325" s="13" t="s">
        <v>1390</v>
      </c>
      <c r="F325" s="13" t="s">
        <v>126</v>
      </c>
      <c r="G325" s="13" t="s">
        <v>32</v>
      </c>
      <c r="H325" s="13" t="s">
        <v>1391</v>
      </c>
      <c r="I325" s="13" t="s">
        <v>1392</v>
      </c>
      <c r="J325" s="13"/>
      <c r="K325" s="14"/>
      <c r="L325" s="14"/>
    </row>
    <row r="326" spans="1:12" ht="28" x14ac:dyDescent="0.2">
      <c r="A326" s="13" t="s">
        <v>1393</v>
      </c>
      <c r="B326" s="13" t="s">
        <v>72</v>
      </c>
      <c r="C326" s="13" t="s">
        <v>124</v>
      </c>
      <c r="D326" s="13" t="s">
        <v>44</v>
      </c>
      <c r="E326" s="13" t="s">
        <v>1394</v>
      </c>
      <c r="F326" s="13" t="s">
        <v>126</v>
      </c>
      <c r="G326" s="13" t="s">
        <v>32</v>
      </c>
      <c r="H326" s="13" t="s">
        <v>1395</v>
      </c>
      <c r="I326" s="13" t="s">
        <v>1396</v>
      </c>
      <c r="J326" s="13"/>
      <c r="K326" s="14"/>
      <c r="L326" s="14"/>
    </row>
    <row r="327" spans="1:12" ht="28" x14ac:dyDescent="0.2">
      <c r="A327" s="13" t="s">
        <v>1397</v>
      </c>
      <c r="B327" s="13" t="s">
        <v>72</v>
      </c>
      <c r="C327" s="13" t="s">
        <v>124</v>
      </c>
      <c r="D327" s="13" t="s">
        <v>44</v>
      </c>
      <c r="E327" s="13" t="s">
        <v>1398</v>
      </c>
      <c r="F327" s="13" t="s">
        <v>153</v>
      </c>
      <c r="G327" s="13" t="s">
        <v>32</v>
      </c>
      <c r="H327" s="13" t="s">
        <v>1399</v>
      </c>
      <c r="I327" s="13" t="s">
        <v>1400</v>
      </c>
      <c r="J327" s="13"/>
      <c r="K327" s="14"/>
      <c r="L327" s="14"/>
    </row>
    <row r="328" spans="1:12" ht="28" x14ac:dyDescent="0.2">
      <c r="A328" s="13" t="s">
        <v>1401</v>
      </c>
      <c r="B328" s="13" t="s">
        <v>74</v>
      </c>
      <c r="C328" s="13" t="s">
        <v>124</v>
      </c>
      <c r="D328" s="13" t="s">
        <v>44</v>
      </c>
      <c r="E328" s="13" t="s">
        <v>1402</v>
      </c>
      <c r="F328" s="13" t="s">
        <v>126</v>
      </c>
      <c r="G328" s="13" t="s">
        <v>32</v>
      </c>
      <c r="H328" s="13" t="s">
        <v>1403</v>
      </c>
      <c r="I328" s="13" t="s">
        <v>1404</v>
      </c>
      <c r="J328" s="13"/>
      <c r="K328" s="14"/>
      <c r="L328" s="14"/>
    </row>
    <row r="329" spans="1:12" ht="28" x14ac:dyDescent="0.2">
      <c r="A329" s="13" t="s">
        <v>1405</v>
      </c>
      <c r="B329" s="13" t="s">
        <v>74</v>
      </c>
      <c r="C329" s="13" t="s">
        <v>124</v>
      </c>
      <c r="D329" s="13" t="s">
        <v>44</v>
      </c>
      <c r="E329" s="13" t="s">
        <v>888</v>
      </c>
      <c r="F329" s="13" t="s">
        <v>183</v>
      </c>
      <c r="G329" s="13" t="s">
        <v>32</v>
      </c>
      <c r="H329" s="13" t="s">
        <v>1406</v>
      </c>
      <c r="I329" s="13" t="s">
        <v>1407</v>
      </c>
      <c r="J329" s="13"/>
      <c r="K329" s="14"/>
      <c r="L329" s="14"/>
    </row>
    <row r="330" spans="1:12" ht="28" x14ac:dyDescent="0.2">
      <c r="A330" s="13" t="s">
        <v>1408</v>
      </c>
      <c r="B330" s="13" t="s">
        <v>74</v>
      </c>
      <c r="C330" s="13" t="s">
        <v>124</v>
      </c>
      <c r="D330" s="13" t="s">
        <v>44</v>
      </c>
      <c r="E330" s="13" t="s">
        <v>1409</v>
      </c>
      <c r="F330" s="13" t="s">
        <v>126</v>
      </c>
      <c r="G330" s="13" t="s">
        <v>32</v>
      </c>
      <c r="H330" s="13" t="s">
        <v>1410</v>
      </c>
      <c r="I330" s="13" t="s">
        <v>1411</v>
      </c>
      <c r="J330" s="13"/>
      <c r="K330" s="14"/>
      <c r="L330" s="14"/>
    </row>
    <row r="331" spans="1:12" ht="28" x14ac:dyDescent="0.2">
      <c r="A331" s="13" t="s">
        <v>1412</v>
      </c>
      <c r="B331" s="13" t="s">
        <v>76</v>
      </c>
      <c r="C331" s="13" t="s">
        <v>124</v>
      </c>
      <c r="D331" s="13" t="s">
        <v>44</v>
      </c>
      <c r="E331" s="13" t="s">
        <v>1413</v>
      </c>
      <c r="F331" s="13" t="s">
        <v>126</v>
      </c>
      <c r="G331" s="13" t="s">
        <v>32</v>
      </c>
      <c r="H331" s="13" t="s">
        <v>1414</v>
      </c>
      <c r="I331" s="13" t="s">
        <v>1415</v>
      </c>
      <c r="J331" s="13"/>
      <c r="K331" s="14"/>
      <c r="L331" s="14"/>
    </row>
    <row r="332" spans="1:12" ht="28" x14ac:dyDescent="0.2">
      <c r="A332" s="13" t="s">
        <v>1416</v>
      </c>
      <c r="B332" s="13" t="s">
        <v>76</v>
      </c>
      <c r="C332" s="13" t="s">
        <v>124</v>
      </c>
      <c r="D332" s="13" t="s">
        <v>44</v>
      </c>
      <c r="E332" s="13" t="s">
        <v>1417</v>
      </c>
      <c r="F332" s="13" t="s">
        <v>126</v>
      </c>
      <c r="G332" s="13" t="s">
        <v>32</v>
      </c>
      <c r="H332" s="13" t="s">
        <v>1418</v>
      </c>
      <c r="I332" s="13" t="s">
        <v>1419</v>
      </c>
      <c r="J332" s="13"/>
      <c r="K332" s="14"/>
      <c r="L332" s="14"/>
    </row>
    <row r="333" spans="1:12" ht="28" x14ac:dyDescent="0.2">
      <c r="A333" s="13" t="s">
        <v>1420</v>
      </c>
      <c r="B333" s="13" t="s">
        <v>76</v>
      </c>
      <c r="C333" s="13" t="s">
        <v>124</v>
      </c>
      <c r="D333" s="13" t="s">
        <v>44</v>
      </c>
      <c r="E333" s="13" t="s">
        <v>107</v>
      </c>
      <c r="F333" s="13" t="s">
        <v>183</v>
      </c>
      <c r="G333" s="13" t="s">
        <v>32</v>
      </c>
      <c r="H333" s="13" t="s">
        <v>1421</v>
      </c>
      <c r="I333" s="13" t="s">
        <v>1422</v>
      </c>
      <c r="J333" s="13"/>
      <c r="K333" s="14"/>
      <c r="L333" s="14"/>
    </row>
    <row r="334" spans="1:12" ht="28" x14ac:dyDescent="0.2">
      <c r="A334" s="13" t="s">
        <v>1423</v>
      </c>
      <c r="B334" s="13" t="s">
        <v>76</v>
      </c>
      <c r="C334" s="13" t="s">
        <v>124</v>
      </c>
      <c r="D334" s="13" t="s">
        <v>44</v>
      </c>
      <c r="E334" s="13" t="s">
        <v>1424</v>
      </c>
      <c r="F334" s="13" t="s">
        <v>126</v>
      </c>
      <c r="G334" s="13" t="s">
        <v>32</v>
      </c>
      <c r="H334" s="13" t="s">
        <v>1425</v>
      </c>
      <c r="I334" s="13" t="s">
        <v>1426</v>
      </c>
      <c r="J334" s="13"/>
      <c r="K334" s="14"/>
      <c r="L334" s="14"/>
    </row>
    <row r="335" spans="1:12" ht="28" x14ac:dyDescent="0.2">
      <c r="A335" s="13" t="s">
        <v>1427</v>
      </c>
      <c r="B335" s="13" t="s">
        <v>76</v>
      </c>
      <c r="C335" s="13" t="s">
        <v>124</v>
      </c>
      <c r="D335" s="13" t="s">
        <v>44</v>
      </c>
      <c r="E335" s="13" t="s">
        <v>1428</v>
      </c>
      <c r="F335" s="13" t="s">
        <v>126</v>
      </c>
      <c r="G335" s="13" t="s">
        <v>32</v>
      </c>
      <c r="H335" s="13" t="s">
        <v>1429</v>
      </c>
      <c r="I335" s="13" t="s">
        <v>1430</v>
      </c>
      <c r="J335" s="13"/>
      <c r="K335" s="14"/>
      <c r="L335" s="14"/>
    </row>
    <row r="336" spans="1:12" ht="28" x14ac:dyDescent="0.2">
      <c r="A336" s="13" t="s">
        <v>1431</v>
      </c>
      <c r="B336" s="13" t="s">
        <v>76</v>
      </c>
      <c r="C336" s="13" t="s">
        <v>124</v>
      </c>
      <c r="D336" s="13" t="s">
        <v>44</v>
      </c>
      <c r="E336" s="13" t="s">
        <v>1432</v>
      </c>
      <c r="F336" s="13" t="s">
        <v>153</v>
      </c>
      <c r="G336" s="13" t="s">
        <v>32</v>
      </c>
      <c r="H336" s="13" t="s">
        <v>1433</v>
      </c>
      <c r="I336" s="13" t="s">
        <v>1434</v>
      </c>
      <c r="J336" s="13"/>
      <c r="K336" s="14"/>
      <c r="L336" s="14"/>
    </row>
    <row r="337" spans="1:12" ht="28" x14ac:dyDescent="0.2">
      <c r="A337" s="13" t="s">
        <v>1435</v>
      </c>
      <c r="B337" s="13" t="s">
        <v>78</v>
      </c>
      <c r="C337" s="13" t="s">
        <v>124</v>
      </c>
      <c r="D337" s="13" t="s">
        <v>44</v>
      </c>
      <c r="E337" s="13" t="s">
        <v>1436</v>
      </c>
      <c r="F337" s="13" t="s">
        <v>126</v>
      </c>
      <c r="G337" s="13" t="s">
        <v>32</v>
      </c>
      <c r="H337" s="13" t="s">
        <v>1437</v>
      </c>
      <c r="I337" s="13" t="s">
        <v>1438</v>
      </c>
      <c r="J337" s="13"/>
      <c r="K337" s="14"/>
      <c r="L337" s="14"/>
    </row>
    <row r="338" spans="1:12" ht="28" x14ac:dyDescent="0.2">
      <c r="A338" s="13" t="s">
        <v>1439</v>
      </c>
      <c r="B338" s="13" t="s">
        <v>78</v>
      </c>
      <c r="C338" s="13" t="s">
        <v>124</v>
      </c>
      <c r="D338" s="13" t="s">
        <v>44</v>
      </c>
      <c r="E338" s="13" t="s">
        <v>1440</v>
      </c>
      <c r="F338" s="13" t="s">
        <v>126</v>
      </c>
      <c r="G338" s="13" t="s">
        <v>32</v>
      </c>
      <c r="H338" s="13" t="s">
        <v>1441</v>
      </c>
      <c r="I338" s="13" t="s">
        <v>1442</v>
      </c>
      <c r="J338" s="13"/>
      <c r="K338" s="14"/>
      <c r="L338" s="14"/>
    </row>
    <row r="339" spans="1:12" ht="28" x14ac:dyDescent="0.2">
      <c r="A339" s="13" t="s">
        <v>1443</v>
      </c>
      <c r="B339" s="13" t="s">
        <v>78</v>
      </c>
      <c r="C339" s="13" t="s">
        <v>124</v>
      </c>
      <c r="D339" s="13" t="s">
        <v>44</v>
      </c>
      <c r="E339" s="13" t="s">
        <v>1444</v>
      </c>
      <c r="F339" s="13" t="s">
        <v>126</v>
      </c>
      <c r="G339" s="13" t="s">
        <v>32</v>
      </c>
      <c r="H339" s="13" t="s">
        <v>1445</v>
      </c>
      <c r="I339" s="13" t="s">
        <v>1446</v>
      </c>
      <c r="J339" s="13"/>
      <c r="K339" s="14"/>
      <c r="L339" s="14"/>
    </row>
    <row r="340" spans="1:12" ht="28" x14ac:dyDescent="0.2">
      <c r="A340" s="13" t="s">
        <v>1447</v>
      </c>
      <c r="B340" s="13" t="s">
        <v>78</v>
      </c>
      <c r="C340" s="13" t="s">
        <v>124</v>
      </c>
      <c r="D340" s="13" t="s">
        <v>44</v>
      </c>
      <c r="E340" s="13" t="s">
        <v>1448</v>
      </c>
      <c r="F340" s="13" t="s">
        <v>153</v>
      </c>
      <c r="G340" s="13" t="s">
        <v>32</v>
      </c>
      <c r="H340" s="13" t="s">
        <v>1449</v>
      </c>
      <c r="I340" s="13" t="s">
        <v>1450</v>
      </c>
      <c r="J340" s="13"/>
      <c r="K340" s="14"/>
      <c r="L340" s="14"/>
    </row>
    <row r="341" spans="1:12" ht="28" x14ac:dyDescent="0.2">
      <c r="A341" s="13" t="s">
        <v>1451</v>
      </c>
      <c r="B341" s="13" t="s">
        <v>78</v>
      </c>
      <c r="C341" s="13" t="s">
        <v>124</v>
      </c>
      <c r="D341" s="13" t="s">
        <v>44</v>
      </c>
      <c r="E341" s="13" t="s">
        <v>1452</v>
      </c>
      <c r="F341" s="13" t="s">
        <v>126</v>
      </c>
      <c r="G341" s="13" t="s">
        <v>32</v>
      </c>
      <c r="H341" s="13" t="s">
        <v>1453</v>
      </c>
      <c r="I341" s="13" t="s">
        <v>1454</v>
      </c>
      <c r="J341" s="13"/>
      <c r="K341" s="14"/>
      <c r="L341" s="14"/>
    </row>
    <row r="342" spans="1:12" ht="42" x14ac:dyDescent="0.2">
      <c r="A342" s="13" t="s">
        <v>1455</v>
      </c>
      <c r="B342" s="13" t="s">
        <v>80</v>
      </c>
      <c r="C342" s="13" t="s">
        <v>124</v>
      </c>
      <c r="D342" s="13" t="s">
        <v>44</v>
      </c>
      <c r="E342" s="13" t="s">
        <v>1456</v>
      </c>
      <c r="F342" s="13" t="s">
        <v>126</v>
      </c>
      <c r="G342" s="13" t="s">
        <v>32</v>
      </c>
      <c r="H342" s="13" t="s">
        <v>1457</v>
      </c>
      <c r="I342" s="13" t="s">
        <v>1458</v>
      </c>
      <c r="J342" s="13"/>
      <c r="K342" s="14"/>
      <c r="L342" s="14"/>
    </row>
    <row r="343" spans="1:12" ht="28" x14ac:dyDescent="0.2">
      <c r="A343" s="13" t="s">
        <v>1459</v>
      </c>
      <c r="B343" s="13" t="s">
        <v>80</v>
      </c>
      <c r="C343" s="13" t="s">
        <v>124</v>
      </c>
      <c r="D343" s="13" t="s">
        <v>44</v>
      </c>
      <c r="E343" s="13" t="s">
        <v>1460</v>
      </c>
      <c r="F343" s="13" t="s">
        <v>126</v>
      </c>
      <c r="G343" s="13" t="s">
        <v>32</v>
      </c>
      <c r="H343" s="13" t="s">
        <v>1461</v>
      </c>
      <c r="I343" s="13" t="s">
        <v>1462</v>
      </c>
      <c r="J343" s="13"/>
      <c r="K343" s="14"/>
      <c r="L343" s="14"/>
    </row>
    <row r="344" spans="1:12" ht="28" x14ac:dyDescent="0.2">
      <c r="A344" s="13" t="s">
        <v>1463</v>
      </c>
      <c r="B344" s="13" t="s">
        <v>80</v>
      </c>
      <c r="C344" s="13" t="s">
        <v>124</v>
      </c>
      <c r="D344" s="13" t="s">
        <v>44</v>
      </c>
      <c r="E344" s="13" t="s">
        <v>1464</v>
      </c>
      <c r="F344" s="13" t="s">
        <v>126</v>
      </c>
      <c r="G344" s="13" t="s">
        <v>32</v>
      </c>
      <c r="H344" s="13" t="s">
        <v>1465</v>
      </c>
      <c r="I344" s="13" t="s">
        <v>1466</v>
      </c>
      <c r="J344" s="13"/>
      <c r="K344" s="14"/>
      <c r="L344" s="14"/>
    </row>
    <row r="345" spans="1:12" ht="28" x14ac:dyDescent="0.2">
      <c r="A345" s="13" t="s">
        <v>1467</v>
      </c>
      <c r="B345" s="13" t="s">
        <v>80</v>
      </c>
      <c r="C345" s="13" t="s">
        <v>124</v>
      </c>
      <c r="D345" s="13" t="s">
        <v>44</v>
      </c>
      <c r="E345" s="13" t="s">
        <v>1468</v>
      </c>
      <c r="F345" s="13" t="s">
        <v>126</v>
      </c>
      <c r="G345" s="13" t="s">
        <v>32</v>
      </c>
      <c r="H345" s="13" t="s">
        <v>1469</v>
      </c>
      <c r="I345" s="13" t="s">
        <v>1470</v>
      </c>
      <c r="J345" s="13"/>
      <c r="K345" s="14"/>
      <c r="L345" s="14"/>
    </row>
    <row r="346" spans="1:12" ht="28" x14ac:dyDescent="0.2">
      <c r="A346" s="13" t="s">
        <v>1471</v>
      </c>
      <c r="B346" s="13" t="s">
        <v>80</v>
      </c>
      <c r="C346" s="13" t="s">
        <v>124</v>
      </c>
      <c r="D346" s="13" t="s">
        <v>44</v>
      </c>
      <c r="E346" s="13" t="s">
        <v>1472</v>
      </c>
      <c r="F346" s="13" t="s">
        <v>126</v>
      </c>
      <c r="G346" s="13" t="s">
        <v>32</v>
      </c>
      <c r="H346" s="13" t="s">
        <v>1473</v>
      </c>
      <c r="I346" s="13" t="s">
        <v>1474</v>
      </c>
      <c r="J346" s="13"/>
      <c r="K346" s="14"/>
      <c r="L346" s="14"/>
    </row>
    <row r="347" spans="1:12" ht="28" x14ac:dyDescent="0.2">
      <c r="A347" s="13" t="s">
        <v>1475</v>
      </c>
      <c r="B347" s="13" t="s">
        <v>80</v>
      </c>
      <c r="C347" s="13" t="s">
        <v>169</v>
      </c>
      <c r="D347" s="13" t="s">
        <v>44</v>
      </c>
      <c r="E347" s="13" t="s">
        <v>1464</v>
      </c>
      <c r="F347" s="13" t="s">
        <v>126</v>
      </c>
      <c r="G347" s="13" t="s">
        <v>32</v>
      </c>
      <c r="H347" s="13" t="s">
        <v>1476</v>
      </c>
      <c r="I347" s="13" t="s">
        <v>1477</v>
      </c>
      <c r="J347" s="13"/>
      <c r="K347" s="14"/>
      <c r="L347" s="14"/>
    </row>
    <row r="348" spans="1:12" ht="28" x14ac:dyDescent="0.2">
      <c r="A348" s="13" t="s">
        <v>1478</v>
      </c>
      <c r="B348" s="13" t="s">
        <v>80</v>
      </c>
      <c r="C348" s="13" t="s">
        <v>169</v>
      </c>
      <c r="D348" s="13" t="s">
        <v>44</v>
      </c>
      <c r="E348" s="13" t="s">
        <v>1456</v>
      </c>
      <c r="F348" s="13" t="s">
        <v>126</v>
      </c>
      <c r="G348" s="13" t="s">
        <v>32</v>
      </c>
      <c r="H348" s="13" t="s">
        <v>1479</v>
      </c>
      <c r="I348" s="13" t="s">
        <v>1480</v>
      </c>
      <c r="J348" s="13"/>
      <c r="K348" s="14"/>
      <c r="L348" s="14"/>
    </row>
    <row r="349" spans="1:12" ht="28" x14ac:dyDescent="0.2">
      <c r="A349" s="13" t="s">
        <v>1481</v>
      </c>
      <c r="B349" s="13" t="s">
        <v>80</v>
      </c>
      <c r="C349" s="13" t="s">
        <v>169</v>
      </c>
      <c r="D349" s="13" t="s">
        <v>44</v>
      </c>
      <c r="E349" s="13" t="s">
        <v>1460</v>
      </c>
      <c r="F349" s="13" t="s">
        <v>126</v>
      </c>
      <c r="G349" s="13" t="s">
        <v>32</v>
      </c>
      <c r="H349" s="13" t="s">
        <v>1482</v>
      </c>
      <c r="I349" s="13" t="s">
        <v>1483</v>
      </c>
      <c r="J349" s="13"/>
      <c r="K349" s="14"/>
      <c r="L349" s="14"/>
    </row>
    <row r="350" spans="1:12" ht="28" x14ac:dyDescent="0.2">
      <c r="A350" s="13" t="s">
        <v>1484</v>
      </c>
      <c r="B350" s="13" t="s">
        <v>80</v>
      </c>
      <c r="C350" s="13" t="s">
        <v>169</v>
      </c>
      <c r="D350" s="13" t="s">
        <v>44</v>
      </c>
      <c r="E350" s="13" t="s">
        <v>1472</v>
      </c>
      <c r="F350" s="13" t="s">
        <v>126</v>
      </c>
      <c r="G350" s="13" t="s">
        <v>32</v>
      </c>
      <c r="H350" s="13" t="s">
        <v>1485</v>
      </c>
      <c r="I350" s="13" t="s">
        <v>1486</v>
      </c>
      <c r="J350" s="13"/>
      <c r="K350" s="14"/>
      <c r="L350" s="14"/>
    </row>
    <row r="351" spans="1:12" ht="28" x14ac:dyDescent="0.2">
      <c r="A351" s="13" t="s">
        <v>1487</v>
      </c>
      <c r="B351" s="13" t="s">
        <v>80</v>
      </c>
      <c r="C351" s="13" t="s">
        <v>169</v>
      </c>
      <c r="D351" s="13" t="s">
        <v>44</v>
      </c>
      <c r="E351" s="13" t="s">
        <v>1488</v>
      </c>
      <c r="F351" s="13" t="s">
        <v>126</v>
      </c>
      <c r="G351" s="13" t="s">
        <v>32</v>
      </c>
      <c r="H351" s="13" t="s">
        <v>1489</v>
      </c>
      <c r="I351" s="13" t="s">
        <v>1490</v>
      </c>
      <c r="J351" s="13"/>
      <c r="K351" s="14"/>
      <c r="L351" s="14"/>
    </row>
    <row r="352" spans="1:12" ht="28" x14ac:dyDescent="0.2">
      <c r="A352" s="13" t="s">
        <v>1491</v>
      </c>
      <c r="B352" s="13" t="s">
        <v>80</v>
      </c>
      <c r="C352" s="13" t="s">
        <v>169</v>
      </c>
      <c r="D352" s="13" t="s">
        <v>44</v>
      </c>
      <c r="E352" s="13" t="s">
        <v>1492</v>
      </c>
      <c r="F352" s="13" t="s">
        <v>126</v>
      </c>
      <c r="G352" s="13" t="s">
        <v>33</v>
      </c>
      <c r="H352" s="13" t="s">
        <v>1493</v>
      </c>
      <c r="I352" s="13" t="s">
        <v>1494</v>
      </c>
      <c r="J352" s="13"/>
      <c r="K352" s="14"/>
      <c r="L352" s="14"/>
    </row>
    <row r="353" spans="1:12" ht="28" x14ac:dyDescent="0.2">
      <c r="A353" s="13" t="s">
        <v>1495</v>
      </c>
      <c r="B353" s="13" t="s">
        <v>80</v>
      </c>
      <c r="C353" s="13" t="s">
        <v>169</v>
      </c>
      <c r="D353" s="13" t="s">
        <v>44</v>
      </c>
      <c r="E353" s="13" t="s">
        <v>1496</v>
      </c>
      <c r="F353" s="13" t="s">
        <v>126</v>
      </c>
      <c r="G353" s="13" t="s">
        <v>32</v>
      </c>
      <c r="H353" s="13" t="s">
        <v>1497</v>
      </c>
      <c r="I353" s="13" t="s">
        <v>1498</v>
      </c>
      <c r="J353" s="13"/>
      <c r="K353" s="14"/>
      <c r="L353" s="14"/>
    </row>
    <row r="354" spans="1:12" ht="28" x14ac:dyDescent="0.2">
      <c r="A354" s="13" t="s">
        <v>1499</v>
      </c>
      <c r="B354" s="13" t="s">
        <v>80</v>
      </c>
      <c r="C354" s="13" t="s">
        <v>169</v>
      </c>
      <c r="D354" s="13" t="s">
        <v>44</v>
      </c>
      <c r="E354" s="13" t="s">
        <v>1500</v>
      </c>
      <c r="F354" s="13" t="s">
        <v>126</v>
      </c>
      <c r="G354" s="13" t="s">
        <v>33</v>
      </c>
      <c r="H354" s="13" t="s">
        <v>1501</v>
      </c>
      <c r="I354" s="13" t="s">
        <v>1502</v>
      </c>
      <c r="J354" s="13"/>
      <c r="K354" s="14"/>
      <c r="L354" s="14"/>
    </row>
    <row r="355" spans="1:12" ht="28" x14ac:dyDescent="0.2">
      <c r="A355" s="13" t="s">
        <v>1503</v>
      </c>
      <c r="B355" s="13" t="s">
        <v>80</v>
      </c>
      <c r="C355" s="13" t="s">
        <v>169</v>
      </c>
      <c r="D355" s="13" t="s">
        <v>44</v>
      </c>
      <c r="E355" s="13" t="s">
        <v>1468</v>
      </c>
      <c r="F355" s="13" t="s">
        <v>126</v>
      </c>
      <c r="G355" s="13" t="s">
        <v>33</v>
      </c>
      <c r="H355" s="13" t="s">
        <v>1504</v>
      </c>
      <c r="I355" s="13" t="s">
        <v>1505</v>
      </c>
      <c r="J355" s="13"/>
      <c r="K355" s="14"/>
      <c r="L355" s="14"/>
    </row>
    <row r="356" spans="1:12" ht="28" x14ac:dyDescent="0.2">
      <c r="A356" s="13" t="s">
        <v>1506</v>
      </c>
      <c r="B356" s="13" t="s">
        <v>80</v>
      </c>
      <c r="C356" s="13" t="s">
        <v>169</v>
      </c>
      <c r="D356" s="13" t="s">
        <v>44</v>
      </c>
      <c r="E356" s="13" t="s">
        <v>1507</v>
      </c>
      <c r="F356" s="13" t="s">
        <v>126</v>
      </c>
      <c r="G356" s="13" t="s">
        <v>33</v>
      </c>
      <c r="H356" s="13" t="s">
        <v>1508</v>
      </c>
      <c r="I356" s="13" t="s">
        <v>1509</v>
      </c>
      <c r="J356" s="13"/>
      <c r="K356" s="14"/>
      <c r="L356" s="14"/>
    </row>
    <row r="357" spans="1:12" ht="28" x14ac:dyDescent="0.2">
      <c r="A357" s="13" t="s">
        <v>1510</v>
      </c>
      <c r="B357" s="13" t="s">
        <v>82</v>
      </c>
      <c r="C357" s="13" t="s">
        <v>124</v>
      </c>
      <c r="D357" s="13" t="s">
        <v>44</v>
      </c>
      <c r="E357" s="13" t="s">
        <v>1511</v>
      </c>
      <c r="F357" s="13" t="s">
        <v>126</v>
      </c>
      <c r="G357" s="13" t="s">
        <v>32</v>
      </c>
      <c r="H357" s="13" t="s">
        <v>1512</v>
      </c>
      <c r="I357" s="13" t="s">
        <v>1513</v>
      </c>
      <c r="J357" s="13"/>
      <c r="K357" s="14"/>
      <c r="L357" s="14"/>
    </row>
    <row r="358" spans="1:12" ht="28" x14ac:dyDescent="0.2">
      <c r="A358" s="13" t="s">
        <v>1514</v>
      </c>
      <c r="B358" s="13" t="s">
        <v>82</v>
      </c>
      <c r="C358" s="13" t="s">
        <v>124</v>
      </c>
      <c r="D358" s="13" t="s">
        <v>44</v>
      </c>
      <c r="E358" s="13" t="s">
        <v>1515</v>
      </c>
      <c r="F358" s="13" t="s">
        <v>126</v>
      </c>
      <c r="G358" s="13" t="s">
        <v>32</v>
      </c>
      <c r="H358" s="13" t="s">
        <v>1516</v>
      </c>
      <c r="I358" s="13" t="s">
        <v>1517</v>
      </c>
      <c r="J358" s="13"/>
      <c r="K358" s="14"/>
      <c r="L358" s="14"/>
    </row>
    <row r="359" spans="1:12" ht="28" x14ac:dyDescent="0.2">
      <c r="A359" s="13" t="s">
        <v>1518</v>
      </c>
      <c r="B359" s="13" t="s">
        <v>82</v>
      </c>
      <c r="C359" s="13" t="s">
        <v>124</v>
      </c>
      <c r="D359" s="13" t="s">
        <v>44</v>
      </c>
      <c r="E359" s="13" t="s">
        <v>1519</v>
      </c>
      <c r="F359" s="13" t="s">
        <v>126</v>
      </c>
      <c r="G359" s="13" t="s">
        <v>32</v>
      </c>
      <c r="H359" s="13" t="s">
        <v>1520</v>
      </c>
      <c r="I359" s="13" t="s">
        <v>1521</v>
      </c>
      <c r="J359" s="13"/>
      <c r="K359" s="14"/>
      <c r="L359" s="14"/>
    </row>
    <row r="360" spans="1:12" ht="28" x14ac:dyDescent="0.2">
      <c r="A360" s="13" t="s">
        <v>1522</v>
      </c>
      <c r="B360" s="13" t="s">
        <v>82</v>
      </c>
      <c r="C360" s="13" t="s">
        <v>124</v>
      </c>
      <c r="D360" s="13" t="s">
        <v>44</v>
      </c>
      <c r="E360" s="13" t="s">
        <v>1523</v>
      </c>
      <c r="F360" s="13" t="s">
        <v>153</v>
      </c>
      <c r="G360" s="13" t="s">
        <v>32</v>
      </c>
      <c r="H360" s="13" t="s">
        <v>1524</v>
      </c>
      <c r="I360" s="13" t="s">
        <v>1525</v>
      </c>
      <c r="J360" s="13"/>
      <c r="K360" s="14"/>
      <c r="L360" s="14"/>
    </row>
    <row r="361" spans="1:12" ht="28" x14ac:dyDescent="0.2">
      <c r="A361" s="13" t="s">
        <v>1526</v>
      </c>
      <c r="B361" s="13" t="s">
        <v>82</v>
      </c>
      <c r="C361" s="13" t="s">
        <v>124</v>
      </c>
      <c r="D361" s="13" t="s">
        <v>44</v>
      </c>
      <c r="E361" s="13" t="s">
        <v>1527</v>
      </c>
      <c r="F361" s="13" t="s">
        <v>126</v>
      </c>
      <c r="G361" s="13" t="s">
        <v>32</v>
      </c>
      <c r="H361" s="13" t="s">
        <v>1528</v>
      </c>
      <c r="I361" s="13" t="s">
        <v>1529</v>
      </c>
      <c r="J361" s="13"/>
      <c r="K361" s="14"/>
      <c r="L361" s="14"/>
    </row>
    <row r="362" spans="1:12" ht="28" x14ac:dyDescent="0.2">
      <c r="A362" s="13" t="s">
        <v>1530</v>
      </c>
      <c r="B362" s="13" t="s">
        <v>82</v>
      </c>
      <c r="C362" s="13" t="s">
        <v>124</v>
      </c>
      <c r="D362" s="13" t="s">
        <v>44</v>
      </c>
      <c r="E362" s="13" t="s">
        <v>1531</v>
      </c>
      <c r="F362" s="13" t="s">
        <v>126</v>
      </c>
      <c r="G362" s="13" t="s">
        <v>32</v>
      </c>
      <c r="H362" s="13" t="s">
        <v>1532</v>
      </c>
      <c r="I362" s="13" t="s">
        <v>1533</v>
      </c>
      <c r="J362" s="13"/>
      <c r="K362" s="14"/>
      <c r="L362" s="14"/>
    </row>
    <row r="363" spans="1:12" ht="28" x14ac:dyDescent="0.2">
      <c r="A363" s="13" t="s">
        <v>1534</v>
      </c>
      <c r="B363" s="13" t="s">
        <v>82</v>
      </c>
      <c r="C363" s="13" t="s">
        <v>124</v>
      </c>
      <c r="D363" s="13" t="s">
        <v>44</v>
      </c>
      <c r="E363" s="13" t="s">
        <v>1535</v>
      </c>
      <c r="F363" s="13" t="s">
        <v>126</v>
      </c>
      <c r="G363" s="13" t="s">
        <v>32</v>
      </c>
      <c r="H363" s="13" t="s">
        <v>1536</v>
      </c>
      <c r="I363" s="13" t="s">
        <v>1537</v>
      </c>
      <c r="J363" s="13"/>
      <c r="K363" s="14"/>
      <c r="L363" s="14"/>
    </row>
    <row r="364" spans="1:12" ht="28" x14ac:dyDescent="0.2">
      <c r="A364" s="13" t="s">
        <v>1538</v>
      </c>
      <c r="B364" s="13" t="s">
        <v>84</v>
      </c>
      <c r="C364" s="13" t="s">
        <v>124</v>
      </c>
      <c r="D364" s="13" t="s">
        <v>44</v>
      </c>
      <c r="E364" s="13" t="s">
        <v>1539</v>
      </c>
      <c r="F364" s="13" t="s">
        <v>153</v>
      </c>
      <c r="G364" s="13" t="s">
        <v>32</v>
      </c>
      <c r="H364" s="13" t="s">
        <v>1540</v>
      </c>
      <c r="I364" s="13" t="s">
        <v>1541</v>
      </c>
      <c r="J364" s="13"/>
      <c r="K364" s="14"/>
      <c r="L364" s="14"/>
    </row>
    <row r="365" spans="1:12" ht="28" x14ac:dyDescent="0.2">
      <c r="A365" s="13" t="s">
        <v>1542</v>
      </c>
      <c r="B365" s="13" t="s">
        <v>84</v>
      </c>
      <c r="C365" s="13" t="s">
        <v>124</v>
      </c>
      <c r="D365" s="13" t="s">
        <v>44</v>
      </c>
      <c r="E365" s="13" t="s">
        <v>1543</v>
      </c>
      <c r="F365" s="13" t="s">
        <v>153</v>
      </c>
      <c r="G365" s="13" t="s">
        <v>32</v>
      </c>
      <c r="H365" s="13" t="s">
        <v>1544</v>
      </c>
      <c r="I365" s="13" t="s">
        <v>1545</v>
      </c>
      <c r="J365" s="13"/>
      <c r="K365" s="14"/>
      <c r="L365" s="14"/>
    </row>
    <row r="366" spans="1:12" ht="28" x14ac:dyDescent="0.2">
      <c r="A366" s="13" t="s">
        <v>1546</v>
      </c>
      <c r="B366" s="13" t="s">
        <v>84</v>
      </c>
      <c r="C366" s="13" t="s">
        <v>124</v>
      </c>
      <c r="D366" s="13" t="s">
        <v>44</v>
      </c>
      <c r="E366" s="13" t="s">
        <v>1547</v>
      </c>
      <c r="F366" s="13" t="s">
        <v>153</v>
      </c>
      <c r="G366" s="13" t="s">
        <v>32</v>
      </c>
      <c r="H366" s="13" t="s">
        <v>1548</v>
      </c>
      <c r="I366" s="13" t="s">
        <v>1549</v>
      </c>
      <c r="J366" s="13"/>
      <c r="K366" s="14"/>
      <c r="L366" s="14"/>
    </row>
    <row r="367" spans="1:12" ht="28" x14ac:dyDescent="0.2">
      <c r="A367" s="13" t="s">
        <v>1550</v>
      </c>
      <c r="B367" s="13" t="s">
        <v>84</v>
      </c>
      <c r="C367" s="13" t="s">
        <v>124</v>
      </c>
      <c r="D367" s="13" t="s">
        <v>44</v>
      </c>
      <c r="E367" s="13" t="s">
        <v>1551</v>
      </c>
      <c r="F367" s="13" t="s">
        <v>153</v>
      </c>
      <c r="G367" s="13" t="s">
        <v>32</v>
      </c>
      <c r="H367" s="13" t="s">
        <v>1552</v>
      </c>
      <c r="I367" s="13" t="s">
        <v>1553</v>
      </c>
      <c r="J367" s="13"/>
      <c r="K367" s="14"/>
      <c r="L367" s="14"/>
    </row>
    <row r="368" spans="1:12" ht="28" x14ac:dyDescent="0.2">
      <c r="A368" s="13" t="s">
        <v>1554</v>
      </c>
      <c r="B368" s="13" t="s">
        <v>84</v>
      </c>
      <c r="C368" s="13" t="s">
        <v>124</v>
      </c>
      <c r="D368" s="13" t="s">
        <v>44</v>
      </c>
      <c r="E368" s="13" t="s">
        <v>1555</v>
      </c>
      <c r="F368" s="13" t="s">
        <v>126</v>
      </c>
      <c r="G368" s="13" t="s">
        <v>32</v>
      </c>
      <c r="H368" s="13" t="s">
        <v>1556</v>
      </c>
      <c r="I368" s="13" t="s">
        <v>1557</v>
      </c>
      <c r="J368" s="13"/>
      <c r="K368" s="14"/>
      <c r="L368" s="14"/>
    </row>
    <row r="369" spans="1:12" ht="28" x14ac:dyDescent="0.2">
      <c r="A369" s="13" t="s">
        <v>1558</v>
      </c>
      <c r="B369" s="13" t="s">
        <v>86</v>
      </c>
      <c r="C369" s="13" t="s">
        <v>124</v>
      </c>
      <c r="D369" s="13" t="s">
        <v>44</v>
      </c>
      <c r="E369" s="13" t="s">
        <v>1559</v>
      </c>
      <c r="F369" s="13" t="s">
        <v>126</v>
      </c>
      <c r="G369" s="13" t="s">
        <v>32</v>
      </c>
      <c r="H369" s="13" t="s">
        <v>1560</v>
      </c>
      <c r="I369" s="13" t="s">
        <v>1561</v>
      </c>
      <c r="J369" s="13"/>
      <c r="K369" s="14"/>
      <c r="L369" s="14"/>
    </row>
    <row r="370" spans="1:12" ht="28" x14ac:dyDescent="0.2">
      <c r="A370" s="13" t="s">
        <v>1562</v>
      </c>
      <c r="B370" s="13" t="s">
        <v>86</v>
      </c>
      <c r="C370" s="13" t="s">
        <v>124</v>
      </c>
      <c r="D370" s="13" t="s">
        <v>44</v>
      </c>
      <c r="E370" s="13" t="s">
        <v>1563</v>
      </c>
      <c r="F370" s="13" t="s">
        <v>153</v>
      </c>
      <c r="G370" s="13" t="s">
        <v>32</v>
      </c>
      <c r="H370" s="13" t="s">
        <v>1564</v>
      </c>
      <c r="I370" s="13" t="s">
        <v>1565</v>
      </c>
      <c r="J370" s="13" t="s">
        <v>1566</v>
      </c>
      <c r="K370" s="14"/>
      <c r="L370" s="14"/>
    </row>
    <row r="371" spans="1:12" ht="28" x14ac:dyDescent="0.2">
      <c r="A371" s="13" t="s">
        <v>1567</v>
      </c>
      <c r="B371" s="13" t="s">
        <v>86</v>
      </c>
      <c r="C371" s="13" t="s">
        <v>124</v>
      </c>
      <c r="D371" s="13" t="s">
        <v>44</v>
      </c>
      <c r="E371" s="13" t="s">
        <v>1568</v>
      </c>
      <c r="F371" s="13" t="s">
        <v>153</v>
      </c>
      <c r="G371" s="13" t="s">
        <v>32</v>
      </c>
      <c r="H371" s="13" t="s">
        <v>1569</v>
      </c>
      <c r="I371" s="13" t="s">
        <v>1570</v>
      </c>
      <c r="J371" s="13"/>
      <c r="K371" s="14"/>
      <c r="L371" s="14"/>
    </row>
    <row r="372" spans="1:12" ht="28" x14ac:dyDescent="0.2">
      <c r="A372" s="13" t="s">
        <v>1571</v>
      </c>
      <c r="B372" s="13" t="s">
        <v>86</v>
      </c>
      <c r="C372" s="13" t="s">
        <v>124</v>
      </c>
      <c r="D372" s="13" t="s">
        <v>44</v>
      </c>
      <c r="E372" s="13" t="s">
        <v>1572</v>
      </c>
      <c r="F372" s="13" t="s">
        <v>153</v>
      </c>
      <c r="G372" s="13" t="s">
        <v>32</v>
      </c>
      <c r="H372" s="13" t="s">
        <v>1573</v>
      </c>
      <c r="I372" s="13" t="s">
        <v>1574</v>
      </c>
      <c r="J372" s="13"/>
      <c r="K372" s="14"/>
      <c r="L372" s="14"/>
    </row>
    <row r="373" spans="1:12" ht="28" x14ac:dyDescent="0.2">
      <c r="A373" s="13" t="s">
        <v>1575</v>
      </c>
      <c r="B373" s="13" t="s">
        <v>86</v>
      </c>
      <c r="C373" s="13" t="s">
        <v>124</v>
      </c>
      <c r="D373" s="13" t="s">
        <v>44</v>
      </c>
      <c r="E373" s="13" t="s">
        <v>1576</v>
      </c>
      <c r="F373" s="13" t="s">
        <v>153</v>
      </c>
      <c r="G373" s="13" t="s">
        <v>32</v>
      </c>
      <c r="H373" s="13" t="s">
        <v>1577</v>
      </c>
      <c r="I373" s="13" t="s">
        <v>1578</v>
      </c>
      <c r="J373" s="13"/>
      <c r="K373" s="14"/>
      <c r="L373" s="14"/>
    </row>
    <row r="374" spans="1:12" ht="28" x14ac:dyDescent="0.2">
      <c r="A374" s="13" t="s">
        <v>1579</v>
      </c>
      <c r="B374" s="13" t="s">
        <v>88</v>
      </c>
      <c r="C374" s="13" t="s">
        <v>124</v>
      </c>
      <c r="D374" s="13" t="s">
        <v>44</v>
      </c>
      <c r="E374" s="13" t="s">
        <v>1580</v>
      </c>
      <c r="F374" s="13" t="s">
        <v>126</v>
      </c>
      <c r="G374" s="13" t="s">
        <v>32</v>
      </c>
      <c r="H374" s="13" t="s">
        <v>1581</v>
      </c>
      <c r="I374" s="13" t="s">
        <v>1582</v>
      </c>
      <c r="J374" s="13"/>
      <c r="K374" s="14"/>
      <c r="L374" s="14"/>
    </row>
    <row r="375" spans="1:12" ht="28" x14ac:dyDescent="0.2">
      <c r="A375" s="13" t="s">
        <v>1583</v>
      </c>
      <c r="B375" s="13" t="s">
        <v>88</v>
      </c>
      <c r="C375" s="13" t="s">
        <v>124</v>
      </c>
      <c r="D375" s="13" t="s">
        <v>44</v>
      </c>
      <c r="E375" s="13" t="s">
        <v>1584</v>
      </c>
      <c r="F375" s="13" t="s">
        <v>126</v>
      </c>
      <c r="G375" s="13" t="s">
        <v>32</v>
      </c>
      <c r="H375" s="13" t="s">
        <v>1585</v>
      </c>
      <c r="I375" s="13" t="s">
        <v>1586</v>
      </c>
      <c r="J375" s="13"/>
      <c r="K375" s="14"/>
      <c r="L375" s="14"/>
    </row>
    <row r="376" spans="1:12" ht="28" x14ac:dyDescent="0.2">
      <c r="A376" s="13" t="s">
        <v>1587</v>
      </c>
      <c r="B376" s="13" t="s">
        <v>88</v>
      </c>
      <c r="C376" s="13" t="s">
        <v>124</v>
      </c>
      <c r="D376" s="13" t="s">
        <v>44</v>
      </c>
      <c r="E376" s="13" t="s">
        <v>1588</v>
      </c>
      <c r="F376" s="13" t="s">
        <v>126</v>
      </c>
      <c r="G376" s="13" t="s">
        <v>32</v>
      </c>
      <c r="H376" s="13" t="s">
        <v>1589</v>
      </c>
      <c r="I376" s="13" t="s">
        <v>1590</v>
      </c>
      <c r="J376" s="13"/>
      <c r="K376" s="14"/>
      <c r="L376" s="14"/>
    </row>
    <row r="377" spans="1:12" ht="28" x14ac:dyDescent="0.2">
      <c r="A377" s="13" t="s">
        <v>1591</v>
      </c>
      <c r="B377" s="13" t="s">
        <v>88</v>
      </c>
      <c r="C377" s="13" t="s">
        <v>124</v>
      </c>
      <c r="D377" s="13" t="s">
        <v>44</v>
      </c>
      <c r="E377" s="13" t="s">
        <v>1592</v>
      </c>
      <c r="F377" s="13" t="s">
        <v>153</v>
      </c>
      <c r="G377" s="13" t="s">
        <v>32</v>
      </c>
      <c r="H377" s="13" t="s">
        <v>1593</v>
      </c>
      <c r="I377" s="13" t="s">
        <v>1594</v>
      </c>
      <c r="J377" s="13"/>
      <c r="K377" s="14"/>
      <c r="L377" s="14"/>
    </row>
    <row r="378" spans="1:12" ht="28" x14ac:dyDescent="0.2">
      <c r="A378" s="13" t="s">
        <v>1595</v>
      </c>
      <c r="B378" s="13" t="s">
        <v>88</v>
      </c>
      <c r="C378" s="13" t="s">
        <v>124</v>
      </c>
      <c r="D378" s="13" t="s">
        <v>44</v>
      </c>
      <c r="E378" s="13" t="s">
        <v>1596</v>
      </c>
      <c r="F378" s="13" t="s">
        <v>153</v>
      </c>
      <c r="G378" s="13" t="s">
        <v>32</v>
      </c>
      <c r="H378" s="13" t="s">
        <v>1597</v>
      </c>
      <c r="I378" s="13" t="s">
        <v>1598</v>
      </c>
      <c r="J378" s="13"/>
      <c r="K378" s="14"/>
      <c r="L378" s="14"/>
    </row>
    <row r="379" spans="1:12" ht="28" x14ac:dyDescent="0.2">
      <c r="A379" s="13" t="s">
        <v>1599</v>
      </c>
      <c r="B379" s="13" t="s">
        <v>88</v>
      </c>
      <c r="C379" s="13" t="s">
        <v>124</v>
      </c>
      <c r="D379" s="13" t="s">
        <v>44</v>
      </c>
      <c r="E379" s="13" t="s">
        <v>1600</v>
      </c>
      <c r="F379" s="13" t="s">
        <v>153</v>
      </c>
      <c r="G379" s="13" t="s">
        <v>32</v>
      </c>
      <c r="H379" s="13" t="s">
        <v>1601</v>
      </c>
      <c r="I379" s="13" t="s">
        <v>1602</v>
      </c>
      <c r="J379" s="13"/>
      <c r="K379" s="14"/>
      <c r="L379" s="14"/>
    </row>
    <row r="380" spans="1:12" ht="28" x14ac:dyDescent="0.2">
      <c r="A380" s="13" t="s">
        <v>1603</v>
      </c>
      <c r="B380" s="13" t="s">
        <v>90</v>
      </c>
      <c r="C380" s="13" t="s">
        <v>124</v>
      </c>
      <c r="D380" s="13" t="s">
        <v>44</v>
      </c>
      <c r="E380" s="13" t="s">
        <v>664</v>
      </c>
      <c r="F380" s="13" t="s">
        <v>126</v>
      </c>
      <c r="G380" s="13" t="s">
        <v>32</v>
      </c>
      <c r="H380" s="13" t="s">
        <v>1604</v>
      </c>
      <c r="I380" s="13" t="s">
        <v>1605</v>
      </c>
      <c r="J380" s="13"/>
      <c r="K380" s="14"/>
      <c r="L380" s="14"/>
    </row>
    <row r="381" spans="1:12" ht="28" x14ac:dyDescent="0.2">
      <c r="A381" s="13" t="s">
        <v>1606</v>
      </c>
      <c r="B381" s="13" t="s">
        <v>90</v>
      </c>
      <c r="C381" s="13" t="s">
        <v>124</v>
      </c>
      <c r="D381" s="13" t="s">
        <v>44</v>
      </c>
      <c r="E381" s="13" t="s">
        <v>912</v>
      </c>
      <c r="F381" s="13" t="s">
        <v>126</v>
      </c>
      <c r="G381" s="13" t="s">
        <v>32</v>
      </c>
      <c r="H381" s="13" t="s">
        <v>1607</v>
      </c>
      <c r="I381" s="13" t="s">
        <v>1608</v>
      </c>
      <c r="J381" s="13"/>
      <c r="K381" s="14"/>
      <c r="L381" s="14"/>
    </row>
    <row r="382" spans="1:12" ht="28" x14ac:dyDescent="0.2">
      <c r="A382" s="13" t="s">
        <v>1609</v>
      </c>
      <c r="B382" s="13" t="s">
        <v>90</v>
      </c>
      <c r="C382" s="13" t="s">
        <v>124</v>
      </c>
      <c r="D382" s="13" t="s">
        <v>44</v>
      </c>
      <c r="E382" s="13" t="s">
        <v>1610</v>
      </c>
      <c r="F382" s="13" t="s">
        <v>153</v>
      </c>
      <c r="G382" s="13" t="s">
        <v>32</v>
      </c>
      <c r="H382" s="13" t="s">
        <v>1611</v>
      </c>
      <c r="I382" s="13" t="s">
        <v>1612</v>
      </c>
      <c r="J382" s="13"/>
      <c r="K382" s="14"/>
      <c r="L382" s="14"/>
    </row>
    <row r="383" spans="1:12" ht="28" x14ac:dyDescent="0.2">
      <c r="A383" s="13" t="s">
        <v>1613</v>
      </c>
      <c r="B383" s="13" t="s">
        <v>90</v>
      </c>
      <c r="C383" s="13" t="s">
        <v>169</v>
      </c>
      <c r="D383" s="13" t="s">
        <v>44</v>
      </c>
      <c r="E383" s="13" t="s">
        <v>1614</v>
      </c>
      <c r="F383" s="13" t="s">
        <v>126</v>
      </c>
      <c r="G383" s="13" t="s">
        <v>32</v>
      </c>
      <c r="H383" s="13" t="s">
        <v>1615</v>
      </c>
      <c r="I383" s="13" t="s">
        <v>1616</v>
      </c>
      <c r="J383" s="13"/>
      <c r="K383" s="14"/>
      <c r="L383" s="14"/>
    </row>
    <row r="384" spans="1:12" ht="28" x14ac:dyDescent="0.2">
      <c r="A384" s="13" t="s">
        <v>1617</v>
      </c>
      <c r="B384" s="13" t="s">
        <v>90</v>
      </c>
      <c r="C384" s="13" t="s">
        <v>169</v>
      </c>
      <c r="D384" s="13" t="s">
        <v>44</v>
      </c>
      <c r="E384" s="13" t="s">
        <v>1618</v>
      </c>
      <c r="F384" s="13" t="s">
        <v>126</v>
      </c>
      <c r="G384" s="13" t="s">
        <v>33</v>
      </c>
      <c r="H384" s="13" t="s">
        <v>1619</v>
      </c>
      <c r="I384" s="13" t="s">
        <v>1620</v>
      </c>
      <c r="J384" s="13"/>
      <c r="K384" s="14"/>
      <c r="L384" s="14"/>
    </row>
    <row r="385" spans="1:12" ht="28" x14ac:dyDescent="0.2">
      <c r="A385" s="13" t="s">
        <v>1621</v>
      </c>
      <c r="B385" s="13" t="s">
        <v>90</v>
      </c>
      <c r="C385" s="13" t="s">
        <v>169</v>
      </c>
      <c r="D385" s="13" t="s">
        <v>44</v>
      </c>
      <c r="E385" s="13" t="s">
        <v>1622</v>
      </c>
      <c r="F385" s="13" t="s">
        <v>126</v>
      </c>
      <c r="G385" s="13" t="s">
        <v>33</v>
      </c>
      <c r="H385" s="13" t="s">
        <v>1623</v>
      </c>
      <c r="I385" s="13" t="s">
        <v>1624</v>
      </c>
      <c r="J385" s="13"/>
      <c r="K385" s="14"/>
      <c r="L385" s="14"/>
    </row>
    <row r="386" spans="1:12" ht="42" x14ac:dyDescent="0.2">
      <c r="A386" s="13" t="s">
        <v>1625</v>
      </c>
      <c r="B386" s="13" t="s">
        <v>90</v>
      </c>
      <c r="C386" s="13" t="s">
        <v>169</v>
      </c>
      <c r="D386" s="13" t="s">
        <v>44</v>
      </c>
      <c r="E386" s="13" t="s">
        <v>1626</v>
      </c>
      <c r="F386" s="13" t="s">
        <v>126</v>
      </c>
      <c r="G386" s="13" t="s">
        <v>33</v>
      </c>
      <c r="H386" s="13" t="s">
        <v>1627</v>
      </c>
      <c r="I386" s="13" t="s">
        <v>1628</v>
      </c>
      <c r="J386" s="13"/>
      <c r="K386" s="14"/>
      <c r="L386" s="14"/>
    </row>
    <row r="387" spans="1:12" x14ac:dyDescent="0.2">
      <c r="A387" s="13" t="s">
        <v>1629</v>
      </c>
      <c r="B387" s="13" t="s">
        <v>90</v>
      </c>
      <c r="C387" s="13" t="s">
        <v>169</v>
      </c>
      <c r="D387" s="13" t="s">
        <v>44</v>
      </c>
      <c r="E387" s="13" t="s">
        <v>1630</v>
      </c>
      <c r="F387" s="13" t="s">
        <v>126</v>
      </c>
      <c r="G387" s="13" t="s">
        <v>32</v>
      </c>
      <c r="H387" s="13" t="s">
        <v>1631</v>
      </c>
      <c r="I387" s="13" t="s">
        <v>1632</v>
      </c>
      <c r="J387" s="13"/>
      <c r="K387" s="14"/>
      <c r="L387" s="14"/>
    </row>
    <row r="388" spans="1:12" ht="28" x14ac:dyDescent="0.2">
      <c r="A388" s="13" t="s">
        <v>1633</v>
      </c>
      <c r="B388" s="13" t="s">
        <v>90</v>
      </c>
      <c r="C388" s="13" t="s">
        <v>169</v>
      </c>
      <c r="D388" s="13" t="s">
        <v>44</v>
      </c>
      <c r="E388" s="13" t="s">
        <v>1634</v>
      </c>
      <c r="F388" s="13" t="s">
        <v>126</v>
      </c>
      <c r="G388" s="13" t="s">
        <v>32</v>
      </c>
      <c r="H388" s="13" t="s">
        <v>1635</v>
      </c>
      <c r="I388" s="13" t="s">
        <v>1636</v>
      </c>
      <c r="J388" s="13"/>
      <c r="K388" s="14"/>
      <c r="L388" s="14"/>
    </row>
    <row r="389" spans="1:12" ht="28" x14ac:dyDescent="0.2">
      <c r="A389" s="13" t="s">
        <v>1637</v>
      </c>
      <c r="B389" s="13" t="s">
        <v>90</v>
      </c>
      <c r="C389" s="13" t="s">
        <v>169</v>
      </c>
      <c r="D389" s="13" t="s">
        <v>44</v>
      </c>
      <c r="E389" s="13" t="s">
        <v>1638</v>
      </c>
      <c r="F389" s="13" t="s">
        <v>126</v>
      </c>
      <c r="G389" s="13" t="s">
        <v>32</v>
      </c>
      <c r="H389" s="13" t="s">
        <v>1639</v>
      </c>
      <c r="I389" s="13" t="s">
        <v>1640</v>
      </c>
      <c r="J389" s="13"/>
      <c r="K389" s="14"/>
      <c r="L389" s="14"/>
    </row>
    <row r="390" spans="1:12" ht="28" x14ac:dyDescent="0.2">
      <c r="A390" s="13" t="s">
        <v>1641</v>
      </c>
      <c r="B390" s="13" t="s">
        <v>90</v>
      </c>
      <c r="C390" s="13" t="s">
        <v>169</v>
      </c>
      <c r="D390" s="13" t="s">
        <v>44</v>
      </c>
      <c r="E390" s="13" t="s">
        <v>1642</v>
      </c>
      <c r="F390" s="13" t="s">
        <v>126</v>
      </c>
      <c r="G390" s="13" t="s">
        <v>33</v>
      </c>
      <c r="H390" s="13" t="s">
        <v>1643</v>
      </c>
      <c r="I390" s="13" t="s">
        <v>1644</v>
      </c>
      <c r="J390" s="13"/>
      <c r="K390" s="14"/>
      <c r="L390" s="14"/>
    </row>
    <row r="391" spans="1:12" ht="28" x14ac:dyDescent="0.2">
      <c r="A391" s="13" t="s">
        <v>1645</v>
      </c>
      <c r="B391" s="13" t="s">
        <v>90</v>
      </c>
      <c r="C391" s="13" t="s">
        <v>169</v>
      </c>
      <c r="D391" s="13" t="s">
        <v>44</v>
      </c>
      <c r="E391" s="13" t="s">
        <v>1646</v>
      </c>
      <c r="F391" s="13" t="s">
        <v>126</v>
      </c>
      <c r="G391" s="13" t="s">
        <v>32</v>
      </c>
      <c r="H391" s="13" t="s">
        <v>1647</v>
      </c>
      <c r="I391" s="13" t="s">
        <v>1648</v>
      </c>
      <c r="J391" s="13"/>
      <c r="K391" s="14"/>
      <c r="L391" s="14"/>
    </row>
    <row r="392" spans="1:12" ht="28" x14ac:dyDescent="0.2">
      <c r="A392" s="13" t="s">
        <v>1649</v>
      </c>
      <c r="B392" s="13" t="s">
        <v>90</v>
      </c>
      <c r="C392" s="13" t="s">
        <v>169</v>
      </c>
      <c r="D392" s="13" t="s">
        <v>44</v>
      </c>
      <c r="E392" s="13" t="s">
        <v>1650</v>
      </c>
      <c r="F392" s="13" t="s">
        <v>183</v>
      </c>
      <c r="G392" s="13" t="s">
        <v>32</v>
      </c>
      <c r="H392" s="13" t="s">
        <v>1651</v>
      </c>
      <c r="I392" s="13" t="s">
        <v>1652</v>
      </c>
      <c r="J392" s="13"/>
      <c r="K392" s="14"/>
      <c r="L392" s="14"/>
    </row>
    <row r="393" spans="1:12" ht="28" x14ac:dyDescent="0.2">
      <c r="A393" s="13" t="s">
        <v>1653</v>
      </c>
      <c r="B393" s="13" t="s">
        <v>90</v>
      </c>
      <c r="C393" s="13" t="s">
        <v>169</v>
      </c>
      <c r="D393" s="13" t="s">
        <v>44</v>
      </c>
      <c r="E393" s="13" t="s">
        <v>1654</v>
      </c>
      <c r="F393" s="13" t="s">
        <v>126</v>
      </c>
      <c r="G393" s="13" t="s">
        <v>33</v>
      </c>
      <c r="H393" s="13" t="s">
        <v>1655</v>
      </c>
      <c r="I393" s="13" t="s">
        <v>1656</v>
      </c>
      <c r="J393" s="13"/>
      <c r="K393" s="14"/>
      <c r="L393" s="14"/>
    </row>
    <row r="394" spans="1:12" ht="28" x14ac:dyDescent="0.2">
      <c r="A394" s="13" t="s">
        <v>1657</v>
      </c>
      <c r="B394" s="13" t="s">
        <v>90</v>
      </c>
      <c r="C394" s="13" t="s">
        <v>169</v>
      </c>
      <c r="D394" s="13" t="s">
        <v>44</v>
      </c>
      <c r="E394" s="13" t="s">
        <v>1050</v>
      </c>
      <c r="F394" s="13" t="s">
        <v>183</v>
      </c>
      <c r="G394" s="13" t="s">
        <v>33</v>
      </c>
      <c r="H394" s="13" t="s">
        <v>1658</v>
      </c>
      <c r="I394" s="13" t="s">
        <v>1659</v>
      </c>
      <c r="J394" s="13"/>
      <c r="K394" s="14"/>
      <c r="L394" s="14"/>
    </row>
    <row r="395" spans="1:12" ht="28" x14ac:dyDescent="0.2">
      <c r="A395" s="13" t="s">
        <v>1660</v>
      </c>
      <c r="B395" s="13" t="s">
        <v>90</v>
      </c>
      <c r="C395" s="13" t="s">
        <v>169</v>
      </c>
      <c r="D395" s="13" t="s">
        <v>44</v>
      </c>
      <c r="E395" s="13" t="s">
        <v>1661</v>
      </c>
      <c r="F395" s="13" t="s">
        <v>126</v>
      </c>
      <c r="G395" s="13" t="s">
        <v>32</v>
      </c>
      <c r="H395" s="13" t="s">
        <v>1662</v>
      </c>
      <c r="I395" s="13" t="s">
        <v>1663</v>
      </c>
      <c r="J395" s="13"/>
      <c r="K395" s="14"/>
      <c r="L395" s="14"/>
    </row>
    <row r="396" spans="1:12" ht="28" x14ac:dyDescent="0.2">
      <c r="A396" s="13" t="s">
        <v>1664</v>
      </c>
      <c r="B396" s="13" t="s">
        <v>90</v>
      </c>
      <c r="C396" s="13" t="s">
        <v>169</v>
      </c>
      <c r="D396" s="13" t="s">
        <v>44</v>
      </c>
      <c r="E396" s="13" t="s">
        <v>1665</v>
      </c>
      <c r="F396" s="13" t="s">
        <v>183</v>
      </c>
      <c r="G396" s="13" t="s">
        <v>32</v>
      </c>
      <c r="H396" s="13" t="s">
        <v>1666</v>
      </c>
      <c r="I396" s="13" t="s">
        <v>1667</v>
      </c>
      <c r="J396" s="13"/>
      <c r="K396" s="14"/>
      <c r="L396" s="14"/>
    </row>
    <row r="397" spans="1:12" ht="28" x14ac:dyDescent="0.2">
      <c r="A397" s="13" t="s">
        <v>1668</v>
      </c>
      <c r="B397" s="13" t="s">
        <v>90</v>
      </c>
      <c r="C397" s="13" t="s">
        <v>169</v>
      </c>
      <c r="D397" s="13" t="s">
        <v>44</v>
      </c>
      <c r="E397" s="13" t="s">
        <v>1669</v>
      </c>
      <c r="F397" s="13" t="s">
        <v>126</v>
      </c>
      <c r="G397" s="13" t="s">
        <v>33</v>
      </c>
      <c r="H397" s="13" t="s">
        <v>1670</v>
      </c>
      <c r="I397" s="13" t="s">
        <v>1671</v>
      </c>
      <c r="J397" s="13"/>
      <c r="K397" s="14"/>
      <c r="L397" s="14"/>
    </row>
    <row r="398" spans="1:12" x14ac:dyDescent="0.2">
      <c r="A398" s="13" t="s">
        <v>1672</v>
      </c>
      <c r="B398" s="13" t="s">
        <v>90</v>
      </c>
      <c r="C398" s="13" t="s">
        <v>169</v>
      </c>
      <c r="D398" s="13" t="s">
        <v>44</v>
      </c>
      <c r="E398" s="13" t="s">
        <v>1673</v>
      </c>
      <c r="F398" s="13" t="s">
        <v>183</v>
      </c>
      <c r="G398" s="13" t="s">
        <v>32</v>
      </c>
      <c r="H398" s="13" t="s">
        <v>1674</v>
      </c>
      <c r="I398" s="13" t="s">
        <v>1675</v>
      </c>
      <c r="J398" s="13"/>
      <c r="K398" s="14"/>
      <c r="L398" s="14"/>
    </row>
    <row r="399" spans="1:12" ht="28" x14ac:dyDescent="0.2">
      <c r="A399" s="13" t="s">
        <v>1676</v>
      </c>
      <c r="B399" s="13" t="s">
        <v>90</v>
      </c>
      <c r="C399" s="13" t="s">
        <v>169</v>
      </c>
      <c r="D399" s="13" t="s">
        <v>44</v>
      </c>
      <c r="E399" s="13" t="s">
        <v>1677</v>
      </c>
      <c r="F399" s="13" t="s">
        <v>183</v>
      </c>
      <c r="G399" s="13" t="s">
        <v>32</v>
      </c>
      <c r="H399" s="13" t="s">
        <v>1678</v>
      </c>
      <c r="I399" s="13" t="s">
        <v>1679</v>
      </c>
      <c r="J399" s="13"/>
      <c r="K399" s="14"/>
      <c r="L399" s="14"/>
    </row>
    <row r="400" spans="1:12" ht="28" x14ac:dyDescent="0.2">
      <c r="A400" s="13" t="s">
        <v>1680</v>
      </c>
      <c r="B400" s="13" t="s">
        <v>90</v>
      </c>
      <c r="C400" s="13" t="s">
        <v>169</v>
      </c>
      <c r="D400" s="13" t="s">
        <v>44</v>
      </c>
      <c r="E400" s="13" t="s">
        <v>1681</v>
      </c>
      <c r="F400" s="13" t="s">
        <v>153</v>
      </c>
      <c r="G400" s="13" t="s">
        <v>33</v>
      </c>
      <c r="H400" s="13" t="s">
        <v>1682</v>
      </c>
      <c r="I400" s="13" t="s">
        <v>1683</v>
      </c>
      <c r="J400" s="13"/>
      <c r="K400" s="14"/>
      <c r="L400" s="14"/>
    </row>
    <row r="401" spans="1:12" ht="28" x14ac:dyDescent="0.2">
      <c r="A401" s="13" t="s">
        <v>1684</v>
      </c>
      <c r="B401" s="13" t="s">
        <v>90</v>
      </c>
      <c r="C401" s="13" t="s">
        <v>169</v>
      </c>
      <c r="D401" s="13" t="s">
        <v>44</v>
      </c>
      <c r="E401" s="13" t="s">
        <v>1685</v>
      </c>
      <c r="F401" s="13" t="s">
        <v>126</v>
      </c>
      <c r="G401" s="13" t="s">
        <v>32</v>
      </c>
      <c r="H401" s="13" t="s">
        <v>1686</v>
      </c>
      <c r="I401" s="13" t="s">
        <v>1687</v>
      </c>
      <c r="J401" s="13"/>
      <c r="K401" s="14"/>
      <c r="L401" s="14"/>
    </row>
    <row r="402" spans="1:12" ht="28" x14ac:dyDescent="0.2">
      <c r="A402" s="13" t="s">
        <v>1688</v>
      </c>
      <c r="B402" s="13" t="s">
        <v>90</v>
      </c>
      <c r="C402" s="13" t="s">
        <v>169</v>
      </c>
      <c r="D402" s="13" t="s">
        <v>44</v>
      </c>
      <c r="E402" s="13" t="s">
        <v>1689</v>
      </c>
      <c r="F402" s="13" t="s">
        <v>153</v>
      </c>
      <c r="G402" s="13" t="s">
        <v>32</v>
      </c>
      <c r="H402" s="13" t="s">
        <v>1690</v>
      </c>
      <c r="I402" s="13" t="s">
        <v>1691</v>
      </c>
      <c r="J402" s="13"/>
      <c r="K402" s="14"/>
      <c r="L402" s="14"/>
    </row>
    <row r="403" spans="1:12" ht="28" x14ac:dyDescent="0.2">
      <c r="A403" s="13" t="s">
        <v>1692</v>
      </c>
      <c r="B403" s="13" t="s">
        <v>90</v>
      </c>
      <c r="C403" s="13" t="s">
        <v>169</v>
      </c>
      <c r="D403" s="13" t="s">
        <v>44</v>
      </c>
      <c r="E403" s="13" t="s">
        <v>1693</v>
      </c>
      <c r="F403" s="13" t="s">
        <v>126</v>
      </c>
      <c r="G403" s="13" t="s">
        <v>32</v>
      </c>
      <c r="H403" s="13" t="s">
        <v>1694</v>
      </c>
      <c r="I403" s="13" t="s">
        <v>1695</v>
      </c>
      <c r="J403" s="13"/>
      <c r="K403" s="14"/>
      <c r="L403" s="14"/>
    </row>
    <row r="404" spans="1:12" ht="28" x14ac:dyDescent="0.2">
      <c r="A404" s="13" t="s">
        <v>1696</v>
      </c>
      <c r="B404" s="13" t="s">
        <v>90</v>
      </c>
      <c r="C404" s="13" t="s">
        <v>169</v>
      </c>
      <c r="D404" s="13" t="s">
        <v>44</v>
      </c>
      <c r="E404" s="13" t="s">
        <v>1697</v>
      </c>
      <c r="F404" s="13" t="s">
        <v>183</v>
      </c>
      <c r="G404" s="13" t="s">
        <v>32</v>
      </c>
      <c r="H404" s="13" t="s">
        <v>1698</v>
      </c>
      <c r="I404" s="13" t="s">
        <v>1699</v>
      </c>
      <c r="J404" s="13"/>
      <c r="K404" s="14"/>
      <c r="L404" s="14"/>
    </row>
    <row r="405" spans="1:12" ht="28" x14ac:dyDescent="0.2">
      <c r="A405" s="13" t="s">
        <v>1700</v>
      </c>
      <c r="B405" s="13" t="s">
        <v>90</v>
      </c>
      <c r="C405" s="13" t="s">
        <v>169</v>
      </c>
      <c r="D405" s="13" t="s">
        <v>44</v>
      </c>
      <c r="E405" s="13" t="s">
        <v>1701</v>
      </c>
      <c r="F405" s="13" t="s">
        <v>126</v>
      </c>
      <c r="G405" s="13" t="s">
        <v>33</v>
      </c>
      <c r="H405" s="13" t="s">
        <v>1702</v>
      </c>
      <c r="I405" s="13" t="s">
        <v>1703</v>
      </c>
      <c r="J405" s="13"/>
      <c r="K405" s="14"/>
      <c r="L405" s="14"/>
    </row>
    <row r="406" spans="1:12" ht="42" x14ac:dyDescent="0.2">
      <c r="A406" s="13" t="s">
        <v>1704</v>
      </c>
      <c r="B406" s="13" t="s">
        <v>90</v>
      </c>
      <c r="C406" s="13" t="s">
        <v>169</v>
      </c>
      <c r="D406" s="13" t="s">
        <v>44</v>
      </c>
      <c r="E406" s="13" t="s">
        <v>1705</v>
      </c>
      <c r="F406" s="13" t="s">
        <v>126</v>
      </c>
      <c r="G406" s="13" t="s">
        <v>34</v>
      </c>
      <c r="H406" s="13" t="s">
        <v>1706</v>
      </c>
      <c r="I406" s="13" t="s">
        <v>1707</v>
      </c>
      <c r="J406" s="13"/>
      <c r="K406" s="14"/>
      <c r="L406" s="14"/>
    </row>
    <row r="407" spans="1:12" x14ac:dyDescent="0.2">
      <c r="A407" s="13" t="s">
        <v>1708</v>
      </c>
      <c r="B407" s="13" t="s">
        <v>90</v>
      </c>
      <c r="C407" s="13" t="s">
        <v>169</v>
      </c>
      <c r="D407" s="13" t="s">
        <v>44</v>
      </c>
      <c r="E407" s="13" t="s">
        <v>1709</v>
      </c>
      <c r="F407" s="13" t="s">
        <v>126</v>
      </c>
      <c r="G407" s="13" t="s">
        <v>34</v>
      </c>
      <c r="H407" s="13" t="s">
        <v>1710</v>
      </c>
      <c r="I407" s="13" t="s">
        <v>1711</v>
      </c>
      <c r="J407" s="13"/>
      <c r="K407" s="14"/>
      <c r="L407" s="14"/>
    </row>
    <row r="408" spans="1:12" ht="28" x14ac:dyDescent="0.2">
      <c r="A408" s="13" t="s">
        <v>1712</v>
      </c>
      <c r="B408" s="13" t="s">
        <v>90</v>
      </c>
      <c r="C408" s="13" t="s">
        <v>169</v>
      </c>
      <c r="D408" s="13" t="s">
        <v>44</v>
      </c>
      <c r="E408" s="13" t="s">
        <v>1713</v>
      </c>
      <c r="F408" s="13" t="s">
        <v>126</v>
      </c>
      <c r="G408" s="13" t="s">
        <v>34</v>
      </c>
      <c r="H408" s="13" t="s">
        <v>1714</v>
      </c>
      <c r="I408" s="13" t="s">
        <v>1715</v>
      </c>
      <c r="J408" s="13"/>
      <c r="K408" s="14"/>
      <c r="L408" s="14"/>
    </row>
    <row r="409" spans="1:12" ht="28" x14ac:dyDescent="0.2">
      <c r="A409" s="13" t="s">
        <v>1716</v>
      </c>
      <c r="B409" s="13" t="s">
        <v>90</v>
      </c>
      <c r="C409" s="13" t="s">
        <v>169</v>
      </c>
      <c r="D409" s="13" t="s">
        <v>44</v>
      </c>
      <c r="E409" s="13" t="s">
        <v>1717</v>
      </c>
      <c r="F409" s="13" t="s">
        <v>126</v>
      </c>
      <c r="G409" s="13" t="s">
        <v>33</v>
      </c>
      <c r="H409" s="13" t="s">
        <v>1718</v>
      </c>
      <c r="I409" s="13" t="s">
        <v>1719</v>
      </c>
      <c r="J409" s="13"/>
      <c r="K409" s="14"/>
      <c r="L409" s="14"/>
    </row>
    <row r="410" spans="1:12" ht="28" x14ac:dyDescent="0.2">
      <c r="A410" s="13" t="s">
        <v>1720</v>
      </c>
      <c r="B410" s="13" t="s">
        <v>92</v>
      </c>
      <c r="C410" s="13" t="s">
        <v>124</v>
      </c>
      <c r="D410" s="13" t="s">
        <v>44</v>
      </c>
      <c r="E410" s="13" t="s">
        <v>1721</v>
      </c>
      <c r="F410" s="13" t="s">
        <v>126</v>
      </c>
      <c r="G410" s="13" t="s">
        <v>32</v>
      </c>
      <c r="H410" s="13" t="s">
        <v>1722</v>
      </c>
      <c r="I410" s="13" t="s">
        <v>1723</v>
      </c>
      <c r="J410" s="13"/>
      <c r="K410" s="14"/>
      <c r="L410" s="14"/>
    </row>
    <row r="411" spans="1:12" ht="28" x14ac:dyDescent="0.2">
      <c r="A411" s="13" t="s">
        <v>1724</v>
      </c>
      <c r="B411" s="13" t="s">
        <v>92</v>
      </c>
      <c r="C411" s="13" t="s">
        <v>124</v>
      </c>
      <c r="D411" s="13" t="s">
        <v>44</v>
      </c>
      <c r="E411" s="13" t="s">
        <v>1725</v>
      </c>
      <c r="F411" s="13" t="s">
        <v>126</v>
      </c>
      <c r="G411" s="13" t="s">
        <v>32</v>
      </c>
      <c r="H411" s="13" t="s">
        <v>1726</v>
      </c>
      <c r="I411" s="13" t="s">
        <v>1727</v>
      </c>
      <c r="J411" s="13"/>
      <c r="K411" s="14"/>
      <c r="L411" s="14"/>
    </row>
    <row r="412" spans="1:12" ht="28" x14ac:dyDescent="0.2">
      <c r="A412" s="13" t="s">
        <v>1728</v>
      </c>
      <c r="B412" s="13" t="s">
        <v>92</v>
      </c>
      <c r="C412" s="13" t="s">
        <v>124</v>
      </c>
      <c r="D412" s="13" t="s">
        <v>44</v>
      </c>
      <c r="E412" s="13" t="s">
        <v>1729</v>
      </c>
      <c r="F412" s="13" t="s">
        <v>126</v>
      </c>
      <c r="G412" s="13" t="s">
        <v>32</v>
      </c>
      <c r="H412" s="13" t="s">
        <v>1730</v>
      </c>
      <c r="I412" s="13" t="s">
        <v>1731</v>
      </c>
      <c r="J412" s="13"/>
      <c r="K412" s="14"/>
      <c r="L412" s="14"/>
    </row>
    <row r="413" spans="1:12" ht="28" x14ac:dyDescent="0.2">
      <c r="A413" s="13" t="s">
        <v>1732</v>
      </c>
      <c r="B413" s="13" t="s">
        <v>109</v>
      </c>
      <c r="C413" s="13" t="s">
        <v>169</v>
      </c>
      <c r="D413" s="13" t="s">
        <v>96</v>
      </c>
      <c r="E413" s="13" t="s">
        <v>1733</v>
      </c>
      <c r="F413" s="13" t="s">
        <v>126</v>
      </c>
      <c r="G413" s="13" t="s">
        <v>32</v>
      </c>
      <c r="H413" s="13" t="s">
        <v>1734</v>
      </c>
      <c r="I413" s="13" t="s">
        <v>1735</v>
      </c>
      <c r="J413" s="13"/>
      <c r="K413" s="14"/>
      <c r="L413" s="14"/>
    </row>
    <row r="414" spans="1:12" ht="28" x14ac:dyDescent="0.2">
      <c r="A414" s="13" t="s">
        <v>1736</v>
      </c>
      <c r="B414" s="13" t="s">
        <v>109</v>
      </c>
      <c r="C414" s="13" t="s">
        <v>169</v>
      </c>
      <c r="D414" s="13" t="s">
        <v>96</v>
      </c>
      <c r="E414" s="13" t="s">
        <v>1737</v>
      </c>
      <c r="F414" s="13" t="s">
        <v>126</v>
      </c>
      <c r="G414" s="13" t="s">
        <v>33</v>
      </c>
      <c r="H414" s="13" t="s">
        <v>1738</v>
      </c>
      <c r="I414" s="13" t="s">
        <v>1739</v>
      </c>
      <c r="J414" s="13"/>
      <c r="K414" s="14"/>
      <c r="L414" s="14"/>
    </row>
    <row r="415" spans="1:12" ht="28" x14ac:dyDescent="0.2">
      <c r="A415" s="13" t="s">
        <v>1740</v>
      </c>
      <c r="B415" s="13" t="s">
        <v>109</v>
      </c>
      <c r="C415" s="13" t="s">
        <v>169</v>
      </c>
      <c r="D415" s="13" t="s">
        <v>96</v>
      </c>
      <c r="E415" s="13" t="s">
        <v>1741</v>
      </c>
      <c r="F415" s="13" t="s">
        <v>126</v>
      </c>
      <c r="G415" s="13" t="s">
        <v>32</v>
      </c>
      <c r="H415" s="13" t="s">
        <v>1742</v>
      </c>
      <c r="I415" s="13" t="s">
        <v>1743</v>
      </c>
      <c r="J415" s="13"/>
      <c r="K415" s="14"/>
      <c r="L415" s="14"/>
    </row>
    <row r="416" spans="1:12" ht="28" x14ac:dyDescent="0.2">
      <c r="A416" s="13" t="s">
        <v>1744</v>
      </c>
      <c r="B416" s="13" t="s">
        <v>109</v>
      </c>
      <c r="C416" s="13" t="s">
        <v>169</v>
      </c>
      <c r="D416" s="13" t="s">
        <v>96</v>
      </c>
      <c r="E416" s="13" t="s">
        <v>1745</v>
      </c>
      <c r="F416" s="13" t="s">
        <v>126</v>
      </c>
      <c r="G416" s="13" t="s">
        <v>33</v>
      </c>
      <c r="H416" s="13" t="s">
        <v>1746</v>
      </c>
      <c r="I416" s="13" t="s">
        <v>1747</v>
      </c>
      <c r="J416" s="13"/>
      <c r="K416" s="14"/>
      <c r="L416" s="14"/>
    </row>
    <row r="417" spans="1:12" ht="28" x14ac:dyDescent="0.2">
      <c r="A417" s="13" t="s">
        <v>1748</v>
      </c>
      <c r="B417" s="13" t="s">
        <v>109</v>
      </c>
      <c r="C417" s="13" t="s">
        <v>169</v>
      </c>
      <c r="D417" s="13" t="s">
        <v>96</v>
      </c>
      <c r="E417" s="13" t="s">
        <v>1749</v>
      </c>
      <c r="F417" s="13" t="s">
        <v>126</v>
      </c>
      <c r="G417" s="13" t="s">
        <v>33</v>
      </c>
      <c r="H417" s="13" t="s">
        <v>1750</v>
      </c>
      <c r="I417" s="13" t="s">
        <v>1751</v>
      </c>
      <c r="J417" s="13"/>
      <c r="K417" s="14"/>
      <c r="L417" s="14"/>
    </row>
    <row r="418" spans="1:12" ht="42" x14ac:dyDescent="0.2">
      <c r="A418" s="13" t="s">
        <v>1752</v>
      </c>
      <c r="B418" s="13" t="s">
        <v>109</v>
      </c>
      <c r="C418" s="13" t="s">
        <v>169</v>
      </c>
      <c r="D418" s="13" t="s">
        <v>96</v>
      </c>
      <c r="E418" s="13" t="s">
        <v>1642</v>
      </c>
      <c r="F418" s="13" t="s">
        <v>126</v>
      </c>
      <c r="G418" s="13" t="s">
        <v>33</v>
      </c>
      <c r="H418" s="13" t="s">
        <v>1753</v>
      </c>
      <c r="I418" s="13" t="s">
        <v>1754</v>
      </c>
      <c r="J418" s="13"/>
      <c r="K418" s="14"/>
      <c r="L418" s="14"/>
    </row>
    <row r="419" spans="1:12" ht="28" x14ac:dyDescent="0.2">
      <c r="A419" s="13" t="s">
        <v>1755</v>
      </c>
      <c r="B419" s="13" t="s">
        <v>109</v>
      </c>
      <c r="C419" s="13" t="s">
        <v>169</v>
      </c>
      <c r="D419" s="13" t="s">
        <v>96</v>
      </c>
      <c r="E419" s="13" t="s">
        <v>1756</v>
      </c>
      <c r="F419" s="13" t="s">
        <v>126</v>
      </c>
      <c r="G419" s="13" t="s">
        <v>34</v>
      </c>
      <c r="H419" s="13" t="s">
        <v>1757</v>
      </c>
      <c r="I419" s="13" t="s">
        <v>1758</v>
      </c>
      <c r="J419" s="13"/>
      <c r="K419" s="14"/>
      <c r="L419" s="14"/>
    </row>
    <row r="420" spans="1:12" ht="42" x14ac:dyDescent="0.2">
      <c r="A420" s="13" t="s">
        <v>1759</v>
      </c>
      <c r="B420" s="13" t="s">
        <v>109</v>
      </c>
      <c r="C420" s="13" t="s">
        <v>169</v>
      </c>
      <c r="D420" s="13" t="s">
        <v>96</v>
      </c>
      <c r="E420" s="13" t="s">
        <v>1760</v>
      </c>
      <c r="F420" s="13" t="s">
        <v>126</v>
      </c>
      <c r="G420" s="13" t="s">
        <v>33</v>
      </c>
      <c r="H420" s="13" t="s">
        <v>1761</v>
      </c>
      <c r="I420" s="13" t="s">
        <v>1762</v>
      </c>
      <c r="J420" s="13"/>
      <c r="K420" s="14"/>
      <c r="L420" s="14"/>
    </row>
    <row r="421" spans="1:12" ht="28" x14ac:dyDescent="0.2">
      <c r="A421" s="13" t="s">
        <v>1763</v>
      </c>
      <c r="B421" s="13" t="s">
        <v>109</v>
      </c>
      <c r="C421" s="13" t="s">
        <v>169</v>
      </c>
      <c r="D421" s="13" t="s">
        <v>96</v>
      </c>
      <c r="E421" s="13" t="s">
        <v>1764</v>
      </c>
      <c r="F421" s="13" t="s">
        <v>153</v>
      </c>
      <c r="G421" s="13" t="s">
        <v>34</v>
      </c>
      <c r="H421" s="13" t="s">
        <v>1765</v>
      </c>
      <c r="I421" s="13" t="s">
        <v>1766</v>
      </c>
      <c r="J421" s="13"/>
      <c r="K421" s="14"/>
      <c r="L421" s="14"/>
    </row>
    <row r="422" spans="1:12" ht="28" x14ac:dyDescent="0.2">
      <c r="A422" s="13" t="s">
        <v>1767</v>
      </c>
      <c r="B422" s="13" t="s">
        <v>109</v>
      </c>
      <c r="C422" s="13" t="s">
        <v>169</v>
      </c>
      <c r="D422" s="13" t="s">
        <v>96</v>
      </c>
      <c r="E422" s="13" t="s">
        <v>1768</v>
      </c>
      <c r="F422" s="13" t="s">
        <v>126</v>
      </c>
      <c r="G422" s="13" t="s">
        <v>33</v>
      </c>
      <c r="H422" s="13" t="s">
        <v>1769</v>
      </c>
      <c r="I422" s="13" t="s">
        <v>1770</v>
      </c>
      <c r="J422" s="13"/>
      <c r="K422" s="14"/>
      <c r="L422" s="14"/>
    </row>
    <row r="423" spans="1:12" ht="28" x14ac:dyDescent="0.2">
      <c r="A423" s="13" t="s">
        <v>1771</v>
      </c>
      <c r="B423" s="13" t="s">
        <v>109</v>
      </c>
      <c r="C423" s="13" t="s">
        <v>169</v>
      </c>
      <c r="D423" s="13" t="s">
        <v>96</v>
      </c>
      <c r="E423" s="13" t="s">
        <v>1772</v>
      </c>
      <c r="F423" s="13" t="s">
        <v>126</v>
      </c>
      <c r="G423" s="13" t="s">
        <v>33</v>
      </c>
      <c r="H423" s="13" t="s">
        <v>1773</v>
      </c>
      <c r="I423" s="13" t="s">
        <v>1774</v>
      </c>
      <c r="J423" s="13"/>
      <c r="K423" s="14"/>
      <c r="L423" s="14"/>
    </row>
    <row r="424" spans="1:12" ht="28" x14ac:dyDescent="0.2">
      <c r="A424" s="13" t="s">
        <v>1775</v>
      </c>
      <c r="B424" s="13" t="s">
        <v>109</v>
      </c>
      <c r="C424" s="13" t="s">
        <v>169</v>
      </c>
      <c r="D424" s="13" t="s">
        <v>96</v>
      </c>
      <c r="E424" s="13" t="s">
        <v>1776</v>
      </c>
      <c r="F424" s="13" t="s">
        <v>126</v>
      </c>
      <c r="G424" s="13" t="s">
        <v>33</v>
      </c>
      <c r="H424" s="13" t="s">
        <v>1777</v>
      </c>
      <c r="I424" s="13" t="s">
        <v>1778</v>
      </c>
      <c r="J424" s="13"/>
      <c r="K424" s="14"/>
      <c r="L424" s="14"/>
    </row>
  </sheetData>
  <autoFilter ref="A1:L424" xr:uid="{00000000-0009-0000-0000-000002000000}"/>
  <conditionalFormatting sqref="G2:G424">
    <cfRule type="cellIs" dxfId="2" priority="2" operator="equal">
      <formula>"Basic"</formula>
    </cfRule>
    <cfRule type="cellIs" dxfId="1" priority="3" operator="equal">
      <formula>"Core"</formula>
    </cfRule>
    <cfRule type="cellIs" dxfId="0" priority="4" operator="equal">
      <formula>"Stretch"</formula>
    </cfRule>
  </conditionalFormatting>
  <dataValidations count="1">
    <dataValidation type="whole" allowBlank="1" showErrorMessage="1" error="Score must be 0–3" sqref="K2:K424" xr:uid="{00000000-0002-0000-0200-000000000000}">
      <formula1>0</formula1>
      <formula2>3</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Skills Overview</vt:lpstr>
      <vt:lpstr>Question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Anik Gasparyan</cp:lastModifiedBy>
  <cp:revision>0</cp:revision>
  <dcterms:created xsi:type="dcterms:W3CDTF">2026-10-15T14:04:08Z</dcterms:created>
  <dcterms:modified xsi:type="dcterms:W3CDTF">2026-10-15T17:28:13Z</dcterms:modified>
  <dc:language>en-US</dc:language>
</cp:coreProperties>
</file>